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6E77C51C-E826-4006-8644-00F1541F604D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layer Skills" sheetId="2" r:id="rId1"/>
    <sheet name="Enemies" sheetId="5" r:id="rId2"/>
    <sheet name="Attack Patterns" sheetId="7" r:id="rId3"/>
    <sheet name="Enemy Encounters" sheetId="6" r:id="rId4"/>
    <sheet name="Design" sheetId="3" r:id="rId5"/>
    <sheet name="Tools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3" l="1"/>
  <c r="K14" i="3"/>
  <c r="L14" i="3"/>
  <c r="M14" i="3"/>
  <c r="N14" i="3"/>
  <c r="O14" i="3"/>
  <c r="P14" i="3"/>
  <c r="Q14" i="3"/>
  <c r="R14" i="3"/>
  <c r="S14" i="3"/>
  <c r="T14" i="3"/>
  <c r="U14" i="3"/>
  <c r="V14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J11" i="3"/>
  <c r="J12" i="3"/>
  <c r="K11" i="3"/>
  <c r="K12" i="3"/>
  <c r="L11" i="3"/>
  <c r="L12" i="3"/>
  <c r="M11" i="3"/>
  <c r="M12" i="3"/>
  <c r="N11" i="3"/>
  <c r="N12" i="3"/>
  <c r="O11" i="3"/>
  <c r="O12" i="3"/>
  <c r="P11" i="3"/>
  <c r="P12" i="3"/>
  <c r="Q11" i="3"/>
  <c r="Q12" i="3"/>
  <c r="R11" i="3"/>
  <c r="R12" i="3"/>
  <c r="S11" i="3"/>
  <c r="S12" i="3"/>
  <c r="T11" i="3"/>
  <c r="T12" i="3"/>
  <c r="U11" i="3"/>
  <c r="U12" i="3"/>
  <c r="V11" i="3"/>
  <c r="V12" i="3"/>
  <c r="V3" i="3"/>
  <c r="V7" i="3"/>
  <c r="U3" i="3"/>
  <c r="U4" i="3"/>
  <c r="V4" i="3" s="1"/>
  <c r="U5" i="3"/>
  <c r="V5" i="3" s="1"/>
  <c r="U6" i="3"/>
  <c r="V6" i="3" s="1"/>
  <c r="U7" i="3"/>
  <c r="U8" i="3"/>
  <c r="V8" i="3" s="1"/>
  <c r="U9" i="3"/>
  <c r="V9" i="3" s="1"/>
  <c r="U10" i="3"/>
  <c r="V10" i="3" s="1"/>
  <c r="L8" i="3"/>
  <c r="T3" i="3"/>
  <c r="T4" i="3"/>
  <c r="T5" i="3"/>
  <c r="T6" i="3"/>
  <c r="T7" i="3"/>
  <c r="T8" i="3"/>
  <c r="T9" i="3"/>
  <c r="T10" i="3"/>
  <c r="S3" i="3"/>
  <c r="S4" i="3"/>
  <c r="S5" i="3"/>
  <c r="S6" i="3"/>
  <c r="S7" i="3"/>
  <c r="S8" i="3"/>
  <c r="S9" i="3"/>
  <c r="S10" i="3"/>
  <c r="R3" i="3"/>
  <c r="R4" i="3"/>
  <c r="R5" i="3"/>
  <c r="R6" i="3"/>
  <c r="R7" i="3"/>
  <c r="R8" i="3"/>
  <c r="R9" i="3"/>
  <c r="R10" i="3"/>
  <c r="Q3" i="3"/>
  <c r="Q4" i="3"/>
  <c r="Q5" i="3"/>
  <c r="Q6" i="3"/>
  <c r="Q7" i="3"/>
  <c r="Q8" i="3"/>
  <c r="Q9" i="3"/>
  <c r="Q10" i="3"/>
  <c r="P3" i="3"/>
  <c r="P4" i="3"/>
  <c r="P5" i="3"/>
  <c r="P6" i="3"/>
  <c r="P7" i="3"/>
  <c r="P8" i="3"/>
  <c r="P9" i="3"/>
  <c r="P10" i="3"/>
  <c r="J3" i="3"/>
  <c r="J4" i="3"/>
  <c r="J5" i="3"/>
  <c r="J6" i="3"/>
  <c r="J7" i="3"/>
  <c r="J8" i="3"/>
  <c r="J9" i="3"/>
  <c r="J10" i="3"/>
  <c r="N3" i="3"/>
  <c r="N4" i="3"/>
  <c r="N5" i="3"/>
  <c r="N6" i="3"/>
  <c r="N7" i="3"/>
  <c r="N8" i="3"/>
  <c r="N9" i="3"/>
  <c r="N10" i="3"/>
  <c r="M3" i="3"/>
  <c r="M4" i="3"/>
  <c r="M5" i="3"/>
  <c r="M6" i="3"/>
  <c r="M7" i="3"/>
  <c r="M8" i="3"/>
  <c r="M9" i="3"/>
  <c r="M10" i="3"/>
  <c r="L3" i="3"/>
  <c r="L4" i="3"/>
  <c r="L5" i="3"/>
  <c r="L6" i="3"/>
  <c r="L7" i="3"/>
  <c r="L9" i="3"/>
  <c r="L10" i="3"/>
  <c r="K3" i="3"/>
  <c r="K4" i="3"/>
  <c r="K5" i="3"/>
  <c r="K6" i="3"/>
  <c r="K7" i="3"/>
  <c r="K8" i="3"/>
  <c r="K9" i="3"/>
  <c r="K10" i="3"/>
  <c r="N2" i="4"/>
  <c r="O5" i="3"/>
  <c r="O8" i="3"/>
  <c r="O3" i="3"/>
  <c r="O4" i="3"/>
  <c r="O6" i="3"/>
  <c r="O7" i="3"/>
  <c r="O9" i="3"/>
  <c r="O10" i="3"/>
</calcChain>
</file>

<file path=xl/sharedStrings.xml><?xml version="1.0" encoding="utf-8"?>
<sst xmlns="http://schemas.openxmlformats.org/spreadsheetml/2006/main" count="260" uniqueCount="121">
  <si>
    <t>ID</t>
  </si>
  <si>
    <t>Skill Name</t>
  </si>
  <si>
    <t>Element Type</t>
  </si>
  <si>
    <t>Cost (energy)</t>
  </si>
  <si>
    <t>PrepTime (seconds)</t>
  </si>
  <si>
    <t>Target</t>
  </si>
  <si>
    <t>Intensity (Damage / Heal)</t>
  </si>
  <si>
    <t>Prefect Multiplier</t>
  </si>
  <si>
    <t>Perfectable?</t>
  </si>
  <si>
    <t>Skill Description</t>
  </si>
  <si>
    <t>Strike</t>
  </si>
  <si>
    <t>Purity</t>
  </si>
  <si>
    <t>SingleEnemy</t>
  </si>
  <si>
    <t>Deals 1 neutral damage with no perfect multiplier.</t>
  </si>
  <si>
    <t>Bash</t>
  </si>
  <si>
    <t>Deals 2 neutral damage with 1.5x perfect multiplier.</t>
  </si>
  <si>
    <t>Heavy Bash</t>
  </si>
  <si>
    <t>Deals 6 neutral damage with 2x perfect multiplier.</t>
  </si>
  <si>
    <t>Wait</t>
  </si>
  <si>
    <t>Self</t>
  </si>
  <si>
    <t>Just waits 1 second.</t>
  </si>
  <si>
    <t>Focus</t>
  </si>
  <si>
    <t>Your next attack will do 50% more damage for each stack of Focus. Lose all Focus when taking damage.</t>
  </si>
  <si>
    <t>Barrage</t>
  </si>
  <si>
    <t>Power</t>
  </si>
  <si>
    <t>Deals 1 red damage with 1.5x perfect multiplier.</t>
  </si>
  <si>
    <t>Headbutt</t>
  </si>
  <si>
    <t>Money</t>
  </si>
  <si>
    <t>Deals 4 green damage 2ith 2x perfect multiplier.</t>
  </si>
  <si>
    <t>Calm Punch</t>
  </si>
  <si>
    <t>Fame</t>
  </si>
  <si>
    <t>Deals 2 blue damage with 1.5x perfect multiplier.</t>
  </si>
  <si>
    <t>Focused Strike</t>
  </si>
  <si>
    <t>Deals 1 blue damage with 1.5x perfect multiplier. Applies 1 stack of focus.</t>
  </si>
  <si>
    <t>Strong Swing</t>
  </si>
  <si>
    <t>Deals 5 red damage with 2x perfect multiplier.</t>
  </si>
  <si>
    <t>Poke</t>
  </si>
  <si>
    <t>Deals 1 green damage with 1.5x perfect multiplier.</t>
  </si>
  <si>
    <t>Devistating Blow</t>
  </si>
  <si>
    <t>Corruption</t>
  </si>
  <si>
    <t>Enemy Name</t>
  </si>
  <si>
    <t>Max HP</t>
  </si>
  <si>
    <t>PatternByRound</t>
  </si>
  <si>
    <t>Shameling</t>
  </si>
  <si>
    <t>NewYear</t>
  </si>
  <si>
    <t>0-1</t>
  </si>
  <si>
    <t>Shamefool</t>
  </si>
  <si>
    <t>OldYear</t>
  </si>
  <si>
    <t>TongueTwister</t>
  </si>
  <si>
    <t>0-1-0-2</t>
  </si>
  <si>
    <t>Enemy ID</t>
  </si>
  <si>
    <t>Pattern ID</t>
  </si>
  <si>
    <t>Timeline Change Priority</t>
  </si>
  <si>
    <t>Timeline Combat Time Pref</t>
  </si>
  <si>
    <t>Timeline Combat Speed Pref</t>
  </si>
  <si>
    <t>Action Type</t>
  </si>
  <si>
    <t>Damage</t>
  </si>
  <si>
    <t>Delay Before Action</t>
  </si>
  <si>
    <t>Delay After Action</t>
  </si>
  <si>
    <t>Play Anim</t>
  </si>
  <si>
    <t>Anim Windup Start</t>
  </si>
  <si>
    <t>Anim Windup End</t>
  </si>
  <si>
    <t>One Off</t>
  </si>
  <si>
    <t>None</t>
  </si>
  <si>
    <t>EnemyAtk</t>
  </si>
  <si>
    <t>SpeedUp</t>
  </si>
  <si>
    <t>SpeedDown</t>
  </si>
  <si>
    <t>Enemy 1</t>
  </si>
  <si>
    <t>Enemy 2</t>
  </si>
  <si>
    <t>Enemy 3</t>
  </si>
  <si>
    <t>Enemy 4</t>
  </si>
  <si>
    <t>Enemy 5</t>
  </si>
  <si>
    <t>Enemy 1 offset</t>
  </si>
  <si>
    <t>Enemy 2 offset</t>
  </si>
  <si>
    <t>Enemy 3 offset</t>
  </si>
  <si>
    <t>Enemy 4 offset</t>
  </si>
  <si>
    <t>Enemy 5 offset</t>
  </si>
  <si>
    <t>Type</t>
  </si>
  <si>
    <t>Regular</t>
  </si>
  <si>
    <t>Scripted</t>
  </si>
  <si>
    <t>Skill Design</t>
  </si>
  <si>
    <t>Elemental Type</t>
  </si>
  <si>
    <t>Skill Type</t>
  </si>
  <si>
    <t>Self Intensity</t>
  </si>
  <si>
    <t>Intensity</t>
  </si>
  <si>
    <t>Preptime</t>
  </si>
  <si>
    <t>Energy Cost</t>
  </si>
  <si>
    <t>Perfect Hit Multiplier</t>
  </si>
  <si>
    <t xml:space="preserve">Perfect Intensity </t>
  </si>
  <si>
    <t xml:space="preserve">Elemental Disadvantage Intensity </t>
  </si>
  <si>
    <t xml:space="preserve">Elemental Advantage Intensity </t>
  </si>
  <si>
    <t>Elemental Disadvantage w/Perfect</t>
  </si>
  <si>
    <t>Elemental Advantage w/Perfect</t>
  </si>
  <si>
    <t>Intensity per Second (IPS)</t>
  </si>
  <si>
    <t>Perfect IPS</t>
  </si>
  <si>
    <t>Disadvantage IPS</t>
  </si>
  <si>
    <t>Advantage IPS</t>
  </si>
  <si>
    <t>Perfect Disadvantage IPS</t>
  </si>
  <si>
    <t>Perfect Advantage IPS</t>
  </si>
  <si>
    <t>Elements</t>
  </si>
  <si>
    <t>Perfect + Elements</t>
  </si>
  <si>
    <t>Elemental Types</t>
  </si>
  <si>
    <t>Targetting Types</t>
  </si>
  <si>
    <t>Enemies</t>
  </si>
  <si>
    <t>Encounter Type</t>
  </si>
  <si>
    <t>AVRAGE ENEMY HP</t>
  </si>
  <si>
    <t>- Grey</t>
  </si>
  <si>
    <t>- Red</t>
  </si>
  <si>
    <t>Buff</t>
  </si>
  <si>
    <t>- Green</t>
  </si>
  <si>
    <t>AllEnemies</t>
  </si>
  <si>
    <t>Debuff</t>
  </si>
  <si>
    <t>PlayerAtk</t>
  </si>
  <si>
    <t>- Blue</t>
  </si>
  <si>
    <t>Heal</t>
  </si>
  <si>
    <t>- Purple</t>
  </si>
  <si>
    <t>- Yellow</t>
  </si>
  <si>
    <t>ReverseStart</t>
  </si>
  <si>
    <t>ReverseEnd</t>
  </si>
  <si>
    <t>PortalStart</t>
  </si>
  <si>
    <t>PortalEnd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</si>
</sst>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2" xfId="0" applyFont="1" applyFill="1" applyBorder="1" applyAlignment="1">
      <alignment horizontal="left" vertical="center"/>
    </xf>
    <xf numFmtId="2" fontId="1" fillId="0" borderId="2" xfId="0" applyNumberFormat="1" applyFont="1" applyBorder="1" applyAlignment="1">
      <alignment horizontal="left" vertical="center"/>
    </xf>
    <xf numFmtId="2" fontId="1" fillId="3" borderId="2" xfId="0" applyNumberFormat="1" applyFont="1" applyFill="1" applyBorder="1" applyAlignment="1">
      <alignment horizontal="left" vertical="center"/>
    </xf>
    <xf numFmtId="2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3" xfId="0" applyFont="1" applyFill="1" applyBorder="1" applyAlignment="1">
      <alignment horizontal="left" vertical="center"/>
    </xf>
    <xf numFmtId="2" fontId="1" fillId="0" borderId="3" xfId="0" applyNumberFormat="1" applyFont="1" applyBorder="1" applyAlignment="1">
      <alignment horizontal="left" vertical="center"/>
    </xf>
    <xf numFmtId="2" fontId="1" fillId="3" borderId="3" xfId="0" applyNumberFormat="1" applyFont="1" applyFill="1" applyBorder="1" applyAlignment="1">
      <alignment horizontal="left" vertical="center"/>
    </xf>
    <xf numFmtId="2" fontId="1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4" xfId="0" applyFont="1" applyFill="1" applyBorder="1" applyAlignment="1">
      <alignment horizontal="left" vertical="center"/>
    </xf>
    <xf numFmtId="2" fontId="1" fillId="0" borderId="4" xfId="0" applyNumberFormat="1" applyFont="1" applyBorder="1" applyAlignment="1">
      <alignment horizontal="left" vertical="center"/>
    </xf>
    <xf numFmtId="2" fontId="1" fillId="3" borderId="4" xfId="0" applyNumberFormat="1" applyFont="1" applyFill="1" applyBorder="1" applyAlignment="1">
      <alignment horizontal="left" vertical="center"/>
    </xf>
    <xf numFmtId="2" fontId="1" fillId="0" borderId="4" xfId="0" applyNumberFormat="1" applyFont="1" applyBorder="1" applyAlignment="1">
      <alignment horizontal="center" vertical="center"/>
    </xf>
    <xf numFmtId="0" fontId="0" fillId="0" borderId="0" xfId="0" quotePrefix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3" borderId="4" xfId="0" applyNumberFormat="1" applyFont="1" applyFill="1" applyBorder="1" applyAlignment="1">
      <alignment horizontal="left" vertical="center"/>
    </xf>
    <xf numFmtId="2" fontId="1" fillId="0" borderId="4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28">
    <dxf>
      <alignment horizontal="left"/>
    </dxf>
    <dxf>
      <alignment horizontal="left"/>
    </dxf>
    <dxf>
      <font>
        <b/>
      </font>
      <numFmt numFmtId="2" formatCode="0.00"/>
      <fill>
        <patternFill patternType="none">
          <fgColor indexed="64"/>
          <bgColor rgb="FFFF0000"/>
        </patternFill>
      </fill>
      <alignment horizontal="center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2" formatCode="0.00"/>
      <fill>
        <patternFill patternType="none">
          <fgColor indexed="64"/>
          <bgColor rgb="FFFF0000"/>
        </patternFill>
      </fill>
      <alignment horizontal="center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2" formatCode="0.00"/>
      <fill>
        <patternFill patternType="solid">
          <fgColor indexed="64"/>
          <bgColor rgb="FFFF0000"/>
        </patternFill>
      </fill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2" formatCode="0.00"/>
      <fill>
        <patternFill patternType="solid">
          <fgColor indexed="64"/>
          <bgColor rgb="FFFF0000"/>
        </patternFill>
      </fill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2" formatCode="0.00"/>
      <fill>
        <patternFill patternType="solid">
          <fgColor indexed="64"/>
          <bgColor rgb="FFFF0000"/>
        </patternFill>
      </fill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2" formatCode="0.00"/>
      <fill>
        <patternFill patternType="solid">
          <fgColor indexed="64"/>
          <bgColor rgb="FFFF0000"/>
        </patternFill>
      </fill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0" formatCode="General"/>
      <fill>
        <patternFill patternType="solid">
          <fgColor indexed="64"/>
          <bgColor rgb="FFFF0000"/>
        </patternFill>
      </fill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2" formatCode="0.00"/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0" formatCode="General"/>
      <fill>
        <patternFill patternType="solid">
          <fgColor indexed="64"/>
          <bgColor rgb="FFFF0000"/>
        </patternFill>
      </fill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0" formatCode="General"/>
      <fill>
        <patternFill patternType="solid">
          <fgColor indexed="64"/>
          <bgColor rgb="FFFF0000"/>
        </patternFill>
      </fill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0" formatCode="General"/>
      <fill>
        <patternFill patternType="solid">
          <fgColor indexed="64"/>
          <bgColor rgb="FFFF0000"/>
        </patternFill>
      </fill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0" formatCode="General"/>
      <fill>
        <patternFill patternType="solid">
          <fgColor indexed="64"/>
          <bgColor rgb="FFFF0000"/>
        </patternFill>
      </fill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numFmt numFmtId="0" formatCode="General"/>
      <fill>
        <patternFill patternType="solid">
          <fgColor indexed="64"/>
          <bgColor rgb="FFFF0000"/>
        </patternFill>
      </fill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alignment horizontal="center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</font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alignment horizontal="left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alignment horizontal="center" vertical="center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alignment horizontal="center" vertical="center" textRotation="0" wrapText="0" indent="0" justifyLastLine="0" shrinkToFit="0" readingOrder="0"/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alignment horizontal="center" vertical="center"/>
    </dxf>
    <dxf>
      <font>
        <b/>
        <i val="0"/>
        <color theme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 patternType="solid"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A5A129-25A5-47F1-97B6-914F87683E81}" name="Table6" displayName="Table6" ref="A2:V14" totalsRowShown="0" dataDxfId="24">
  <autoFilter ref="A2:V14" xr:uid="{F0A5A129-25A5-47F1-97B6-914F87683E81}"/>
  <tableColumns count="22">
    <tableColumn id="1" xr3:uid="{F28569F2-390A-44D0-BD67-49E24B220048}" name="Skill Name" dataDxfId="23"/>
    <tableColumn id="2" xr3:uid="{0F08605B-AB2D-4894-A567-CC0AB98FF31D}" name="Elemental Type" dataDxfId="22"/>
    <tableColumn id="19" xr3:uid="{95DA23B8-8A23-43C6-BEA2-F38DFEB64736}" name="Skill Type" dataDxfId="21"/>
    <tableColumn id="22" xr3:uid="{D320D564-73D0-4EB2-975B-E5BFBEE624BC}" name="Self Intensity" dataDxfId="20"/>
    <tableColumn id="3" xr3:uid="{370E2391-9400-4218-9A3E-496DF4B8B828}" name="Intensity" dataDxfId="19"/>
    <tableColumn id="4" xr3:uid="{7A8A37F5-B199-443C-B5A8-3F159CF1900B}" name="Preptime" dataDxfId="18"/>
    <tableColumn id="5" xr3:uid="{1CE762EE-2A64-40C1-A1F2-E80961CB6478}" name="Energy Cost" dataDxfId="17"/>
    <tableColumn id="18" xr3:uid="{873436E0-190C-4A05-B86B-90932F1EE35D}" name="Perfectable?" dataDxfId="16"/>
    <tableColumn id="6" xr3:uid="{E61EC803-65AC-46A3-836B-F784DEC3B5E4}" name="Perfect Hit Multiplier" dataDxfId="15"/>
    <tableColumn id="7" xr3:uid="{0547B085-5423-4DC3-A25C-305725088CCC}" name="Perfect Intensity " dataDxfId="14">
      <calculatedColumnFormula>ROUNDUP(Table6[[#This Row],[Intensity]]*Table6[[#This Row],[Perfect Hit Multiplier]], 0)</calculatedColumnFormula>
    </tableColumn>
    <tableColumn id="8" xr3:uid="{C10C71DD-E4BE-48AA-A399-5F95169F6A3C}" name="Elemental Disadvantage Intensity " dataDxfId="13">
      <calculatedColumnFormula>ROUNDUP(Table6[[#This Row],[Intensity]]*0.5,0)</calculatedColumnFormula>
    </tableColumn>
    <tableColumn id="9" xr3:uid="{10AC4E07-5B32-4EDD-8894-586D97A4FACA}" name="Elemental Advantage Intensity " dataDxfId="12">
      <calculatedColumnFormula>ROUNDUP(Table6[[#This Row],[Intensity]]*2,0)</calculatedColumnFormula>
    </tableColumn>
    <tableColumn id="10" xr3:uid="{FD18E339-E882-49E4-BE7D-F8C18D7FAAEC}" name="Elemental Disadvantage w/Perfect" dataDxfId="11">
      <calculatedColumnFormula>ROUNDUP(Table6[[#This Row],[Intensity]]*Table6[[#This Row],[Perfect Hit Multiplier]]*0.5, 0)</calculatedColumnFormula>
    </tableColumn>
    <tableColumn id="11" xr3:uid="{52290D9E-67F8-4F28-83DE-5D0E0004C060}" name="Elemental Advantage w/Perfect" dataDxfId="10">
      <calculatedColumnFormula>ROUNDUP(Table6[[#This Row],[Intensity]]*Table6[[#This Row],[Perfect Hit Multiplier]]*2, 0)</calculatedColumnFormula>
    </tableColumn>
    <tableColumn id="12" xr3:uid="{7887F47A-3E76-4DCC-B280-6D46E460FF40}" name="Intensity per Second (IPS)" dataDxfId="9">
      <calculatedColumnFormula>ROUND(Table6[[#This Row],[Intensity]]/Table6[[#This Row],[Preptime]], 2)</calculatedColumnFormula>
    </tableColumn>
    <tableColumn id="13" xr3:uid="{7C240FF3-0D6C-46D1-A646-A52A4EF230DA}" name="Perfect IPS" dataDxfId="8">
      <calculatedColumnFormula>ROUND((Table6[[#This Row],[Intensity]]*Table6[[#This Row],[Perfect Hit Multiplier]])/Table6[[#This Row],[Preptime]], 2)</calculatedColumnFormula>
    </tableColumn>
    <tableColumn id="14" xr3:uid="{45D8FD0D-D2DD-4CE1-BC97-ACD5F3AE9FD4}" name="Disadvantage IPS" dataDxfId="7">
      <calculatedColumnFormula>ROUND((Table6[[#This Row],[Intensity]]* 0.5)/Table6[[#This Row],[Preptime]], 2)</calculatedColumnFormula>
    </tableColumn>
    <tableColumn id="15" xr3:uid="{30734E2E-1064-46FC-8091-F1251AE6B4C6}" name="Advantage IPS" dataDxfId="6">
      <calculatedColumnFormula>ROUND((Table6[[#This Row],[Intensity]]* 2)/Table6[[#This Row],[Preptime]], 2)</calculatedColumnFormula>
    </tableColumn>
    <tableColumn id="16" xr3:uid="{5E6FF01D-65DB-49E9-8FC4-53FC9A74BDA6}" name="Perfect Disadvantage IPS" dataDxfId="5">
      <calculatedColumnFormula>ROUNDUP((Table6[[#This Row],[Intensity]]*Table6[[#This Row],[Perfect Hit Multiplier]]*0.5)/Table6[[#This Row],[Preptime]], 2)</calculatedColumnFormula>
    </tableColumn>
    <tableColumn id="17" xr3:uid="{C6D1DAB3-1051-43F9-AE3B-5CEB94CE1D09}" name="Perfect Advantage IPS" dataDxfId="4">
      <calculatedColumnFormula>ROUNDUP((Table6[[#This Row],[Intensity]]*Table6[[#This Row],[Perfect Hit Multiplier]]*2)/Table6[[#This Row],[Preptime]], 2)</calculatedColumnFormula>
    </tableColumn>
    <tableColumn id="20" xr3:uid="{029A4884-35DA-4080-BBE4-76CE62122D0A}" name="Elements" dataDxfId="3">
      <calculatedColumnFormula>IF(Table6[[#This Row],[Elemental Type]] = Tools!$A$2,FALSE,TRUE)</calculatedColumnFormula>
    </tableColumn>
    <tableColumn id="21" xr3:uid="{951CA015-3206-4BBD-A1CD-F63CF6129B6A}" name="Perfect + Elements" dataDxfId="2">
      <calculatedColumnFormula>IF(Table6[[#This Row],[Perfectable?]],IF(Table6[[#This Row],[Elements]], TRUE, FALSE),FALSE)</calculatedColumnFormula>
    </tableColumn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3BB44-4612-4526-88B1-02E9EAC8A77F}" name="Table1" displayName="Table1" ref="A1:A7" totalsRowShown="0">
  <autoFilter ref="A1:A7" xr:uid="{1893BB44-4612-4526-88B1-02E9EAC8A77F}"/>
  <tableColumns count="1">
    <tableColumn id="1" xr3:uid="{57C281BE-E98C-4422-8F2B-B1F751A66A8E}" name="Elemental Typ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7BF591-3D3B-4ABF-A6A3-61FFE5EBCE34}" name="Table2" displayName="Table2" ref="D1:D4" totalsRowShown="0">
  <autoFilter ref="D1:D4" xr:uid="{3C7BF591-3D3B-4ABF-A6A3-61FFE5EBCE34}"/>
  <tableColumns count="1">
    <tableColumn id="1" xr3:uid="{C664797D-18C3-4ABC-97DA-1468CF7B7600}" name="Targetting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173A43-583A-4E85-AC2A-0FF7B3097BB4}" name="Table3" displayName="Table3" ref="F1:F5" totalsRowShown="0">
  <autoFilter ref="F1:F5" xr:uid="{E4173A43-583A-4E85-AC2A-0FF7B3097BB4}"/>
  <tableColumns count="1">
    <tableColumn id="1" xr3:uid="{296F08B4-ADCE-4026-B4A9-1E40E9FFED02}" name="Skill 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3833B7-A4D9-41CB-8B96-6AB4D01033E8}" name="Table5" displayName="Table5" ref="H1:H7" totalsRowShown="0" dataDxfId="1">
  <autoFilter ref="H1:H7" xr:uid="{2A3833B7-A4D9-41CB-8B96-6AB4D01033E8}"/>
  <tableColumns count="1">
    <tableColumn id="1" xr3:uid="{D3E2BCA3-04D1-4425-A1C6-20EFC8DEAD14}" name="Enemies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C634FE-C70E-4CC8-AC76-E0D87F357C3F}" name="Table4" displayName="Table4" ref="J1:J10" totalsRowShown="0">
  <autoFilter ref="J1:J10" xr:uid="{7AC634FE-C70E-4CC8-AC76-E0D87F357C3F}"/>
  <tableColumns count="1">
    <tableColumn id="1" xr3:uid="{B04D1D86-31B5-41C1-B577-5B7AC969B3E6}" name="Action 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7A56F5-EF77-46D2-BE43-37B5CAC48DDA}" name="Table7" displayName="Table7" ref="L1:L3" totalsRowShown="0">
  <autoFilter ref="L1:L3" xr:uid="{B27A56F5-EF77-46D2-BE43-37B5CAC48DDA}"/>
  <tableColumns count="1">
    <tableColumn id="1" xr3:uid="{57CB1DB1-2B4A-444C-BE0E-89F43319C11D}" name="Encounter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4850-973F-4FD0-85C9-194941D5483D}">
  <dimension ref="A1:J13"/>
  <sheetViews>
    <sheetView workbookViewId="0">
      <selection activeCell="D13" sqref="D13"/>
    </sheetView>
  </sheetViews>
  <sheetFormatPr defaultRowHeight="15"/>
  <cols>
    <col min="1" max="1" width="3.28515625" style="2" bestFit="1" customWidth="1"/>
    <col min="2" max="2" width="15.85546875" style="2" bestFit="1" customWidth="1"/>
    <col min="3" max="3" width="13.42578125" style="2" bestFit="1" customWidth="1"/>
    <col min="4" max="4" width="13" style="2" bestFit="1" customWidth="1"/>
    <col min="5" max="5" width="18.85546875" style="2" bestFit="1" customWidth="1"/>
    <col min="6" max="6" width="12.28515625" style="2" bestFit="1" customWidth="1"/>
    <col min="7" max="7" width="24.42578125" style="2" bestFit="1" customWidth="1"/>
    <col min="8" max="8" width="17" style="2" bestFit="1" customWidth="1"/>
    <col min="9" max="9" width="12.28515625" style="2" bestFit="1" customWidth="1"/>
    <col min="10" max="10" width="9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</row>
    <row r="2" spans="1:10">
      <c r="A2" s="2">
        <v>0</v>
      </c>
      <c r="B2" s="2" t="s">
        <v>10</v>
      </c>
      <c r="C2" s="2" t="s">
        <v>11</v>
      </c>
      <c r="D2" s="2">
        <v>0</v>
      </c>
      <c r="E2" s="2">
        <v>3</v>
      </c>
      <c r="F2" s="2" t="s">
        <v>12</v>
      </c>
      <c r="G2" s="2">
        <v>1</v>
      </c>
      <c r="H2" s="2">
        <v>1</v>
      </c>
      <c r="I2" s="3" t="b">
        <v>0</v>
      </c>
      <c r="J2" t="s">
        <v>13</v>
      </c>
    </row>
    <row r="3" spans="1:10">
      <c r="A3" s="2">
        <v>1</v>
      </c>
      <c r="B3" s="2" t="s">
        <v>14</v>
      </c>
      <c r="C3" s="2" t="s">
        <v>11</v>
      </c>
      <c r="D3" s="2">
        <v>1</v>
      </c>
      <c r="E3" s="2">
        <v>2</v>
      </c>
      <c r="F3" s="2" t="s">
        <v>12</v>
      </c>
      <c r="G3" s="2">
        <v>2</v>
      </c>
      <c r="H3" s="2">
        <v>1.5</v>
      </c>
      <c r="I3" s="3" t="b">
        <v>1</v>
      </c>
      <c r="J3" t="s">
        <v>15</v>
      </c>
    </row>
    <row r="4" spans="1:10">
      <c r="A4" s="2">
        <v>2</v>
      </c>
      <c r="B4" s="2" t="s">
        <v>16</v>
      </c>
      <c r="C4" s="2" t="s">
        <v>11</v>
      </c>
      <c r="D4" s="2">
        <v>2</v>
      </c>
      <c r="E4" s="2">
        <v>3</v>
      </c>
      <c r="F4" s="2" t="s">
        <v>12</v>
      </c>
      <c r="G4" s="2">
        <v>6</v>
      </c>
      <c r="H4" s="2">
        <v>2</v>
      </c>
      <c r="I4" s="3" t="b">
        <v>1</v>
      </c>
      <c r="J4" t="s">
        <v>17</v>
      </c>
    </row>
    <row r="5" spans="1:10">
      <c r="A5" s="2">
        <v>3</v>
      </c>
      <c r="B5" s="2" t="s">
        <v>18</v>
      </c>
      <c r="C5" s="2" t="s">
        <v>11</v>
      </c>
      <c r="D5" s="2">
        <v>0</v>
      </c>
      <c r="E5" s="2">
        <v>1</v>
      </c>
      <c r="F5" s="2" t="s">
        <v>19</v>
      </c>
      <c r="G5" s="2">
        <v>0</v>
      </c>
      <c r="H5" s="2">
        <v>1</v>
      </c>
      <c r="I5" s="3" t="b">
        <v>0</v>
      </c>
      <c r="J5" t="s">
        <v>20</v>
      </c>
    </row>
    <row r="6" spans="1:10">
      <c r="A6" s="2">
        <v>4</v>
      </c>
      <c r="B6" s="2" t="s">
        <v>21</v>
      </c>
      <c r="C6" s="2" t="s">
        <v>11</v>
      </c>
      <c r="D6" s="2">
        <v>1</v>
      </c>
      <c r="E6" s="2">
        <v>2</v>
      </c>
      <c r="F6" s="2" t="s">
        <v>19</v>
      </c>
      <c r="G6" s="2">
        <v>1</v>
      </c>
      <c r="H6" s="2">
        <v>2</v>
      </c>
      <c r="I6" s="3" t="b">
        <v>0</v>
      </c>
      <c r="J6" t="s">
        <v>22</v>
      </c>
    </row>
    <row r="7" spans="1:10">
      <c r="A7" s="2">
        <v>5</v>
      </c>
      <c r="B7" s="2" t="s">
        <v>23</v>
      </c>
      <c r="C7" s="2" t="s">
        <v>24</v>
      </c>
      <c r="D7" s="2">
        <v>1</v>
      </c>
      <c r="E7" s="2">
        <v>1</v>
      </c>
      <c r="F7" s="2" t="s">
        <v>12</v>
      </c>
      <c r="G7" s="2">
        <v>1</v>
      </c>
      <c r="H7" s="2">
        <v>1.5</v>
      </c>
      <c r="I7" s="3" t="b">
        <v>1</v>
      </c>
      <c r="J7" t="s">
        <v>25</v>
      </c>
    </row>
    <row r="8" spans="1:10">
      <c r="A8" s="2">
        <v>6</v>
      </c>
      <c r="B8" s="2" t="s">
        <v>26</v>
      </c>
      <c r="C8" s="2" t="s">
        <v>27</v>
      </c>
      <c r="D8" s="2">
        <v>3</v>
      </c>
      <c r="E8" s="2">
        <v>3</v>
      </c>
      <c r="F8" s="2" t="s">
        <v>12</v>
      </c>
      <c r="G8" s="2">
        <v>4</v>
      </c>
      <c r="H8" s="2">
        <v>2</v>
      </c>
      <c r="I8" s="3" t="b">
        <v>1</v>
      </c>
      <c r="J8" t="s">
        <v>28</v>
      </c>
    </row>
    <row r="9" spans="1:10">
      <c r="A9" s="2">
        <v>7</v>
      </c>
      <c r="B9" s="2" t="s">
        <v>29</v>
      </c>
      <c r="C9" s="2" t="s">
        <v>30</v>
      </c>
      <c r="D9" s="2">
        <v>2</v>
      </c>
      <c r="E9" s="2">
        <v>2</v>
      </c>
      <c r="F9" s="2" t="s">
        <v>12</v>
      </c>
      <c r="G9" s="2">
        <v>2</v>
      </c>
      <c r="H9" s="2">
        <v>1.5</v>
      </c>
      <c r="I9" s="3" t="b">
        <v>1</v>
      </c>
      <c r="J9" t="s">
        <v>31</v>
      </c>
    </row>
    <row r="10" spans="1:10">
      <c r="A10" s="2">
        <v>8</v>
      </c>
      <c r="B10" s="2" t="s">
        <v>32</v>
      </c>
      <c r="C10" s="2" t="s">
        <v>30</v>
      </c>
      <c r="D10" s="2">
        <v>1</v>
      </c>
      <c r="E10" s="2">
        <v>2</v>
      </c>
      <c r="F10" s="2" t="s">
        <v>12</v>
      </c>
      <c r="G10" s="2">
        <v>1</v>
      </c>
      <c r="H10" s="2">
        <v>1.5</v>
      </c>
      <c r="I10" s="3" t="b">
        <v>1</v>
      </c>
      <c r="J10" t="s">
        <v>33</v>
      </c>
    </row>
    <row r="11" spans="1:10">
      <c r="A11" s="2">
        <v>9</v>
      </c>
      <c r="B11" s="2" t="s">
        <v>34</v>
      </c>
      <c r="C11" s="2" t="s">
        <v>24</v>
      </c>
      <c r="D11" s="2">
        <v>4</v>
      </c>
      <c r="E11" s="2">
        <v>5</v>
      </c>
      <c r="F11" s="2" t="s">
        <v>12</v>
      </c>
      <c r="G11" s="2">
        <v>5</v>
      </c>
      <c r="H11" s="2">
        <v>2</v>
      </c>
      <c r="I11" s="3" t="b">
        <v>1</v>
      </c>
      <c r="J11" t="s">
        <v>35</v>
      </c>
    </row>
    <row r="12" spans="1:10">
      <c r="A12" s="2">
        <v>10</v>
      </c>
      <c r="B12" s="2" t="s">
        <v>36</v>
      </c>
      <c r="C12" s="2" t="s">
        <v>27</v>
      </c>
      <c r="D12" s="2">
        <v>1</v>
      </c>
      <c r="E12" s="2">
        <v>1</v>
      </c>
      <c r="F12" s="2" t="s">
        <v>12</v>
      </c>
      <c r="G12" s="2">
        <v>1</v>
      </c>
      <c r="H12" s="2">
        <v>1.5</v>
      </c>
      <c r="I12" s="3" t="b">
        <v>1</v>
      </c>
      <c r="J12" t="s">
        <v>37</v>
      </c>
    </row>
    <row r="13" spans="1:10">
      <c r="A13" s="2">
        <v>11</v>
      </c>
      <c r="B13" s="2" t="s">
        <v>38</v>
      </c>
      <c r="C13" s="2" t="s">
        <v>39</v>
      </c>
    </row>
  </sheetData>
  <dataValidations count="1">
    <dataValidation allowBlank="1" showInputMessage="1" showErrorMessage="1" sqref="F1" xr:uid="{07438BC0-0854-408A-B9DF-19B13A44457A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B075C-DDE8-4E02-B8FA-6C5A416EF42C}">
          <x14:formula1>
            <xm:f>Tools!$D$2:$D$4</xm:f>
          </x14:formula1>
          <xm:sqref>F2:F1048576</xm:sqref>
        </x14:dataValidation>
        <x14:dataValidation type="list" allowBlank="1" showInputMessage="1" showErrorMessage="1" xr:uid="{83C8FBDA-51B0-4F77-A742-920C6363DA7C}">
          <x14:formula1>
            <xm:f>Tools!$A$3:$A$7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49BB-06FC-438C-BFE6-302F1F5D3D42}">
  <dimension ref="A1:E6"/>
  <sheetViews>
    <sheetView tabSelected="1" workbookViewId="0">
      <selection activeCell="J21" sqref="J21"/>
    </sheetView>
  </sheetViews>
  <sheetFormatPr defaultRowHeight="15"/>
  <cols>
    <col min="1" max="1" width="3" style="2" bestFit="1" customWidth="1"/>
    <col min="2" max="2" width="14.7109375" style="2" bestFit="1" customWidth="1"/>
    <col min="3" max="3" width="13.42578125" style="2" bestFit="1" customWidth="1"/>
    <col min="4" max="4" width="8" style="2" bestFit="1" customWidth="1"/>
    <col min="5" max="5" width="18.85546875" style="2" bestFit="1" customWidth="1"/>
  </cols>
  <sheetData>
    <row r="1" spans="1:5">
      <c r="A1" s="1" t="s">
        <v>0</v>
      </c>
      <c r="B1" s="1" t="s">
        <v>40</v>
      </c>
      <c r="C1" s="1" t="s">
        <v>2</v>
      </c>
      <c r="D1" s="1" t="s">
        <v>41</v>
      </c>
      <c r="E1" s="1" t="s">
        <v>42</v>
      </c>
    </row>
    <row r="2" spans="1:5">
      <c r="A2" s="2">
        <v>0</v>
      </c>
      <c r="B2" s="2" t="s">
        <v>43</v>
      </c>
      <c r="C2" s="2" t="s">
        <v>24</v>
      </c>
      <c r="D2" s="2">
        <v>10</v>
      </c>
      <c r="E2" s="2">
        <v>0</v>
      </c>
    </row>
    <row r="3" spans="1:5">
      <c r="A3" s="2">
        <v>1</v>
      </c>
      <c r="B3" s="2" t="s">
        <v>44</v>
      </c>
      <c r="C3" s="2" t="s">
        <v>27</v>
      </c>
      <c r="D3" s="2">
        <v>20</v>
      </c>
      <c r="E3" s="2" t="s">
        <v>45</v>
      </c>
    </row>
    <row r="4" spans="1:5">
      <c r="A4" s="2">
        <v>2</v>
      </c>
      <c r="B4" s="2" t="s">
        <v>46</v>
      </c>
      <c r="C4" s="2" t="s">
        <v>30</v>
      </c>
      <c r="D4" s="2">
        <v>20</v>
      </c>
      <c r="E4" s="2">
        <v>0</v>
      </c>
    </row>
    <row r="5" spans="1:5">
      <c r="A5" s="2">
        <v>3</v>
      </c>
      <c r="B5" s="2" t="s">
        <v>47</v>
      </c>
      <c r="C5" s="2" t="s">
        <v>11</v>
      </c>
      <c r="D5" s="2">
        <v>20</v>
      </c>
      <c r="E5" s="2" t="s">
        <v>45</v>
      </c>
    </row>
    <row r="6" spans="1:5">
      <c r="A6" s="2">
        <v>4</v>
      </c>
      <c r="B6" s="2" t="s">
        <v>48</v>
      </c>
      <c r="C6" s="2" t="s">
        <v>39</v>
      </c>
      <c r="D6" s="2">
        <v>200</v>
      </c>
      <c r="E6" s="2" t="s">
        <v>49</v>
      </c>
    </row>
  </sheetData>
  <dataValidations count="1">
    <dataValidation allowBlank="1" showInputMessage="1" showErrorMessage="1" sqref="C1" xr:uid="{BA632C3C-FBA5-4774-A9CC-247E424E9DC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64C22C-BCAC-4D61-8BBC-FF2FD966F048}">
          <x14:formula1>
            <xm:f>Tools!$A$3:$A$7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7C45-218A-4EEB-ACB0-1085978C79C4}">
  <dimension ref="A1:M18"/>
  <sheetViews>
    <sheetView workbookViewId="0">
      <selection activeCell="L22" sqref="L22"/>
    </sheetView>
  </sheetViews>
  <sheetFormatPr defaultRowHeight="15"/>
  <cols>
    <col min="1" max="1" width="9.5703125" style="2" bestFit="1" customWidth="1"/>
    <col min="2" max="2" width="10.28515625" style="2" bestFit="1" customWidth="1"/>
    <col min="3" max="3" width="22.85546875" style="2" bestFit="1" customWidth="1"/>
    <col min="4" max="4" width="25.28515625" style="2" bestFit="1" customWidth="1"/>
    <col min="5" max="5" width="26.42578125" style="2" bestFit="1" customWidth="1"/>
    <col min="6" max="6" width="11.42578125" style="2" bestFit="1" customWidth="1"/>
    <col min="7" max="7" width="8.28515625" style="2" bestFit="1" customWidth="1"/>
    <col min="8" max="8" width="18.7109375" style="2" bestFit="1" customWidth="1"/>
    <col min="9" max="9" width="17.140625" style="2" bestFit="1" customWidth="1"/>
    <col min="10" max="10" width="9.85546875" style="2" bestFit="1" customWidth="1"/>
    <col min="11" max="11" width="18" style="2" bestFit="1" customWidth="1"/>
    <col min="12" max="12" width="17" style="2" bestFit="1" customWidth="1"/>
    <col min="13" max="13" width="9.140625" style="2"/>
  </cols>
  <sheetData>
    <row r="1" spans="1:1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</row>
    <row r="2" spans="1:13">
      <c r="A2" s="2">
        <v>0</v>
      </c>
      <c r="B2" s="2">
        <v>0</v>
      </c>
      <c r="C2" s="2">
        <v>1</v>
      </c>
      <c r="D2" s="2">
        <v>6</v>
      </c>
      <c r="E2" s="2">
        <v>1</v>
      </c>
      <c r="F2" s="2" t="s">
        <v>63</v>
      </c>
      <c r="G2" s="2">
        <v>0</v>
      </c>
      <c r="H2" s="2">
        <v>0.5</v>
      </c>
      <c r="I2" s="2">
        <v>0</v>
      </c>
      <c r="J2" s="3" t="b">
        <v>0</v>
      </c>
      <c r="K2" s="2">
        <v>0</v>
      </c>
      <c r="L2" s="2">
        <v>0</v>
      </c>
      <c r="M2" s="3" t="b">
        <v>1</v>
      </c>
    </row>
    <row r="3" spans="1:13">
      <c r="A3" s="2">
        <v>0</v>
      </c>
      <c r="B3" s="2">
        <v>0</v>
      </c>
      <c r="C3" s="2">
        <v>1</v>
      </c>
      <c r="D3" s="2">
        <v>6</v>
      </c>
      <c r="E3" s="2">
        <v>1</v>
      </c>
      <c r="F3" s="2" t="s">
        <v>64</v>
      </c>
      <c r="G3" s="2">
        <v>1</v>
      </c>
      <c r="H3" s="2">
        <v>0.5</v>
      </c>
      <c r="I3" s="2">
        <v>0.5</v>
      </c>
      <c r="J3" s="3" t="b">
        <v>1</v>
      </c>
      <c r="K3" s="2">
        <v>0.25</v>
      </c>
      <c r="L3" s="2">
        <v>0.25</v>
      </c>
      <c r="M3" s="3" t="b">
        <v>0</v>
      </c>
    </row>
    <row r="4" spans="1:13">
      <c r="A4" s="2">
        <v>1</v>
      </c>
      <c r="B4" s="2">
        <v>0</v>
      </c>
      <c r="C4" s="2">
        <v>2</v>
      </c>
      <c r="D4" s="2">
        <v>6</v>
      </c>
      <c r="E4" s="2">
        <v>1</v>
      </c>
      <c r="F4" s="2" t="s">
        <v>63</v>
      </c>
      <c r="G4" s="2">
        <v>0</v>
      </c>
      <c r="H4" s="2">
        <v>2</v>
      </c>
      <c r="I4" s="2">
        <v>0</v>
      </c>
      <c r="J4" s="3" t="b">
        <v>0</v>
      </c>
      <c r="K4" s="2">
        <v>0</v>
      </c>
      <c r="L4" s="2">
        <v>0</v>
      </c>
      <c r="M4" s="3" t="b">
        <v>0</v>
      </c>
    </row>
    <row r="5" spans="1:13">
      <c r="A5" s="2">
        <v>1</v>
      </c>
      <c r="B5" s="2">
        <v>0</v>
      </c>
      <c r="C5" s="2">
        <v>2</v>
      </c>
      <c r="D5" s="2">
        <v>6</v>
      </c>
      <c r="E5" s="2">
        <v>1</v>
      </c>
      <c r="F5" s="2" t="s">
        <v>65</v>
      </c>
      <c r="G5" s="2">
        <v>1</v>
      </c>
      <c r="H5" s="2">
        <v>1</v>
      </c>
      <c r="I5" s="2">
        <v>1</v>
      </c>
      <c r="J5" s="3" t="b">
        <v>1</v>
      </c>
      <c r="K5" s="2">
        <v>0.5</v>
      </c>
      <c r="L5" s="2">
        <v>0.5</v>
      </c>
      <c r="M5" s="3" t="b">
        <v>0</v>
      </c>
    </row>
    <row r="6" spans="1:13">
      <c r="A6" s="2">
        <v>1</v>
      </c>
      <c r="B6" s="2">
        <v>1</v>
      </c>
      <c r="C6" s="2">
        <v>2</v>
      </c>
      <c r="D6" s="2">
        <v>12</v>
      </c>
      <c r="E6" s="2">
        <v>1</v>
      </c>
      <c r="F6" s="2" t="s">
        <v>65</v>
      </c>
      <c r="G6" s="2">
        <v>1</v>
      </c>
      <c r="H6" s="2">
        <v>1</v>
      </c>
      <c r="I6" s="2">
        <v>1</v>
      </c>
      <c r="J6" s="3" t="b">
        <v>1</v>
      </c>
      <c r="K6" s="2">
        <v>0.5</v>
      </c>
      <c r="L6" s="2">
        <v>0.5</v>
      </c>
      <c r="M6" s="3" t="b">
        <v>0</v>
      </c>
    </row>
    <row r="7" spans="1:13">
      <c r="A7" s="2">
        <v>2</v>
      </c>
      <c r="B7" s="2">
        <v>0</v>
      </c>
      <c r="C7" s="2">
        <v>1</v>
      </c>
      <c r="D7" s="2">
        <v>6</v>
      </c>
      <c r="E7" s="2">
        <v>1</v>
      </c>
      <c r="F7" s="2" t="s">
        <v>63</v>
      </c>
      <c r="G7" s="2">
        <v>0</v>
      </c>
      <c r="H7" s="2">
        <v>2</v>
      </c>
      <c r="I7" s="2">
        <v>0</v>
      </c>
      <c r="J7" s="3" t="b">
        <v>0</v>
      </c>
      <c r="K7" s="2">
        <v>0</v>
      </c>
      <c r="L7" s="2">
        <v>0</v>
      </c>
      <c r="M7" s="3" t="b">
        <v>1</v>
      </c>
    </row>
    <row r="8" spans="1:13">
      <c r="A8" s="2">
        <v>2</v>
      </c>
      <c r="B8" s="2">
        <v>0</v>
      </c>
      <c r="C8" s="2">
        <v>1</v>
      </c>
      <c r="D8" s="2">
        <v>6</v>
      </c>
      <c r="E8" s="2">
        <v>1</v>
      </c>
      <c r="F8" s="2" t="s">
        <v>64</v>
      </c>
      <c r="G8" s="2">
        <v>2</v>
      </c>
      <c r="H8" s="2">
        <v>0.25</v>
      </c>
      <c r="I8" s="2">
        <v>0.25</v>
      </c>
      <c r="J8" s="3" t="b">
        <v>1</v>
      </c>
      <c r="K8" s="2">
        <v>0.125</v>
      </c>
      <c r="L8" s="2">
        <v>0.125</v>
      </c>
      <c r="M8" s="3" t="b">
        <v>0</v>
      </c>
    </row>
    <row r="9" spans="1:13">
      <c r="A9" s="2">
        <v>2</v>
      </c>
      <c r="B9" s="2">
        <v>0</v>
      </c>
      <c r="C9" s="2">
        <v>1</v>
      </c>
      <c r="D9" s="2">
        <v>6</v>
      </c>
      <c r="E9" s="2">
        <v>1</v>
      </c>
      <c r="F9" s="2" t="s">
        <v>64</v>
      </c>
      <c r="G9" s="2">
        <v>2</v>
      </c>
      <c r="H9" s="2">
        <v>0.25</v>
      </c>
      <c r="I9" s="2">
        <v>0.25</v>
      </c>
      <c r="J9" s="3" t="b">
        <v>1</v>
      </c>
      <c r="K9" s="2">
        <v>0.125</v>
      </c>
      <c r="L9" s="2">
        <v>0.125</v>
      </c>
      <c r="M9" s="3" t="b">
        <v>0</v>
      </c>
    </row>
    <row r="10" spans="1:13">
      <c r="A10" s="2">
        <v>3</v>
      </c>
      <c r="B10" s="2">
        <v>0</v>
      </c>
      <c r="C10" s="2">
        <v>2</v>
      </c>
      <c r="D10" s="2">
        <v>6</v>
      </c>
      <c r="E10" s="2">
        <v>1</v>
      </c>
      <c r="F10" s="2" t="s">
        <v>63</v>
      </c>
      <c r="G10" s="2">
        <v>0</v>
      </c>
      <c r="H10" s="2">
        <v>2</v>
      </c>
      <c r="I10" s="2">
        <v>0</v>
      </c>
      <c r="J10" s="3" t="b">
        <v>0</v>
      </c>
      <c r="K10" s="2">
        <v>0</v>
      </c>
      <c r="L10" s="2">
        <v>0</v>
      </c>
      <c r="M10" s="3" t="b">
        <v>0</v>
      </c>
    </row>
    <row r="11" spans="1:13">
      <c r="A11" s="2">
        <v>3</v>
      </c>
      <c r="B11" s="2">
        <v>0</v>
      </c>
      <c r="C11" s="2">
        <v>2</v>
      </c>
      <c r="D11" s="2">
        <v>6</v>
      </c>
      <c r="E11" s="2">
        <v>1</v>
      </c>
      <c r="F11" s="2" t="s">
        <v>66</v>
      </c>
      <c r="G11" s="2">
        <v>1</v>
      </c>
      <c r="H11" s="2">
        <v>1</v>
      </c>
      <c r="I11" s="2">
        <v>0.5</v>
      </c>
      <c r="J11" s="3" t="b">
        <v>1</v>
      </c>
      <c r="K11" s="2">
        <v>0.5</v>
      </c>
      <c r="L11" s="2">
        <v>0.5</v>
      </c>
      <c r="M11" s="3" t="b">
        <v>0</v>
      </c>
    </row>
    <row r="12" spans="1:13">
      <c r="A12" s="2">
        <v>3</v>
      </c>
      <c r="B12" s="2">
        <v>1</v>
      </c>
      <c r="C12" s="2">
        <v>2</v>
      </c>
      <c r="D12" s="2">
        <v>8</v>
      </c>
      <c r="E12" s="2">
        <v>1</v>
      </c>
      <c r="F12" s="2" t="s">
        <v>66</v>
      </c>
      <c r="G12" s="2">
        <v>1</v>
      </c>
      <c r="H12" s="2">
        <v>1</v>
      </c>
      <c r="I12" s="2">
        <v>1.5</v>
      </c>
      <c r="J12" s="3" t="b">
        <v>1</v>
      </c>
      <c r="K12" s="2">
        <v>0.5</v>
      </c>
      <c r="L12" s="2">
        <v>0.5</v>
      </c>
      <c r="M12" s="3" t="b">
        <v>0</v>
      </c>
    </row>
    <row r="13" spans="1:13">
      <c r="A13" s="2">
        <v>4</v>
      </c>
      <c r="B13" s="2">
        <v>0</v>
      </c>
      <c r="C13" s="2">
        <v>5</v>
      </c>
      <c r="D13" s="2">
        <v>6</v>
      </c>
      <c r="E13" s="2">
        <v>1</v>
      </c>
      <c r="F13" s="2" t="s">
        <v>64</v>
      </c>
      <c r="G13" s="2">
        <v>5</v>
      </c>
      <c r="H13" s="2">
        <v>1.5</v>
      </c>
      <c r="I13" s="2">
        <v>0.5</v>
      </c>
      <c r="J13" s="3" t="b">
        <v>1</v>
      </c>
      <c r="K13" s="2">
        <v>1</v>
      </c>
      <c r="L13" s="2">
        <v>0.25</v>
      </c>
      <c r="M13" s="3" t="b">
        <v>0</v>
      </c>
    </row>
    <row r="14" spans="1:13">
      <c r="A14" s="2">
        <v>4</v>
      </c>
      <c r="B14" s="2">
        <v>1</v>
      </c>
      <c r="C14" s="2">
        <v>5</v>
      </c>
      <c r="D14" s="2">
        <v>12</v>
      </c>
      <c r="E14" s="2">
        <v>1</v>
      </c>
      <c r="F14" s="2" t="s">
        <v>64</v>
      </c>
      <c r="G14" s="2">
        <v>3</v>
      </c>
      <c r="H14" s="2">
        <v>0.25</v>
      </c>
      <c r="I14" s="2">
        <v>0.25</v>
      </c>
      <c r="J14" s="3" t="b">
        <v>1</v>
      </c>
      <c r="K14" s="2">
        <v>0.125</v>
      </c>
      <c r="L14" s="2">
        <v>0.125</v>
      </c>
      <c r="M14" s="3" t="b">
        <v>0</v>
      </c>
    </row>
    <row r="15" spans="1:13">
      <c r="A15" s="2">
        <v>4</v>
      </c>
      <c r="B15" s="2">
        <v>2</v>
      </c>
      <c r="C15" s="2">
        <v>5</v>
      </c>
      <c r="D15" s="2">
        <v>12</v>
      </c>
      <c r="E15" s="2">
        <v>1</v>
      </c>
      <c r="F15" s="2" t="s">
        <v>64</v>
      </c>
      <c r="G15" s="2">
        <v>5</v>
      </c>
      <c r="H15" s="2">
        <v>0.5</v>
      </c>
      <c r="I15" s="2">
        <v>0.5</v>
      </c>
      <c r="J15" s="3" t="b">
        <v>1</v>
      </c>
      <c r="K15" s="2">
        <v>0.25</v>
      </c>
      <c r="L15" s="2">
        <v>0.25</v>
      </c>
      <c r="M15" s="3" t="b">
        <v>0</v>
      </c>
    </row>
    <row r="16" spans="1:13">
      <c r="A16" s="2">
        <v>4</v>
      </c>
      <c r="B16" s="2">
        <v>2</v>
      </c>
      <c r="C16" s="2">
        <v>5</v>
      </c>
      <c r="D16" s="2">
        <v>12</v>
      </c>
      <c r="E16" s="2">
        <v>1</v>
      </c>
      <c r="F16" s="2" t="s">
        <v>63</v>
      </c>
      <c r="G16" s="2">
        <v>0</v>
      </c>
      <c r="H16" s="2">
        <v>1</v>
      </c>
      <c r="I16" s="2">
        <v>0</v>
      </c>
      <c r="J16" s="3" t="b">
        <v>0</v>
      </c>
      <c r="K16" s="2">
        <v>0</v>
      </c>
      <c r="L16" s="2">
        <v>0</v>
      </c>
      <c r="M16" s="3" t="b">
        <v>0</v>
      </c>
    </row>
    <row r="17" spans="1:13">
      <c r="A17" s="2">
        <v>4</v>
      </c>
      <c r="B17" s="2">
        <v>2</v>
      </c>
      <c r="C17" s="2">
        <v>5</v>
      </c>
      <c r="D17" s="2">
        <v>12</v>
      </c>
      <c r="E17" s="2">
        <v>1</v>
      </c>
      <c r="F17" s="2" t="s">
        <v>64</v>
      </c>
      <c r="G17" s="2">
        <v>10</v>
      </c>
      <c r="H17" s="2">
        <v>1.5</v>
      </c>
      <c r="I17" s="2">
        <v>0.5</v>
      </c>
      <c r="J17" s="3" t="b">
        <v>1</v>
      </c>
      <c r="K17" s="2">
        <v>1</v>
      </c>
      <c r="L17" s="2">
        <v>0.25</v>
      </c>
      <c r="M17" s="3" t="b">
        <v>0</v>
      </c>
    </row>
    <row r="18" spans="1:13">
      <c r="A18" s="2">
        <v>4</v>
      </c>
      <c r="B18" s="2">
        <v>2</v>
      </c>
      <c r="C18" s="2">
        <v>5</v>
      </c>
      <c r="D18" s="2">
        <v>12</v>
      </c>
      <c r="E18" s="2">
        <v>1</v>
      </c>
      <c r="F18" s="2" t="s">
        <v>63</v>
      </c>
      <c r="G18" s="2">
        <v>0</v>
      </c>
      <c r="H18" s="2">
        <v>1</v>
      </c>
      <c r="I18" s="2">
        <v>0</v>
      </c>
      <c r="J18" s="3" t="b">
        <v>0</v>
      </c>
      <c r="K18" s="2">
        <v>0</v>
      </c>
      <c r="L18" s="2">
        <v>0</v>
      </c>
      <c r="M18" s="3" t="b">
        <v>0</v>
      </c>
    </row>
  </sheetData>
  <dataValidations count="1">
    <dataValidation allowBlank="1" showInputMessage="1" showErrorMessage="1" sqref="F1" xr:uid="{1DF208BA-4588-474F-974A-247082881E9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82A413-EA15-479A-B5A1-7C42E68E3434}">
          <x14:formula1>
            <xm:f>Tools!$J$2:$J$10</xm:f>
          </x14:formula1>
          <xm:sqref>F2:F1048576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8FD7-8A29-459A-871C-92F81F4167E9}">
  <dimension ref="A1:L8"/>
  <sheetViews>
    <sheetView workbookViewId="0">
      <selection activeCell="H15" sqref="H15"/>
    </sheetView>
  </sheetViews>
  <sheetFormatPr defaultRowHeight="15"/>
  <cols>
    <col min="1" max="1" width="3" style="2" bestFit="1" customWidth="1"/>
    <col min="2" max="2" width="14.28515625" bestFit="1" customWidth="1"/>
    <col min="3" max="4" width="10.42578125" bestFit="1" customWidth="1"/>
    <col min="5" max="6" width="8.7109375" bestFit="1" customWidth="1"/>
    <col min="7" max="11" width="14.28515625" style="4" bestFit="1" customWidth="1"/>
  </cols>
  <sheetData>
    <row r="1" spans="1:12">
      <c r="A1" s="1" t="s">
        <v>0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35" t="s">
        <v>72</v>
      </c>
      <c r="H1" s="35" t="s">
        <v>73</v>
      </c>
      <c r="I1" s="35" t="s">
        <v>74</v>
      </c>
      <c r="J1" s="35" t="s">
        <v>75</v>
      </c>
      <c r="K1" s="35" t="s">
        <v>76</v>
      </c>
      <c r="L1" s="5" t="s">
        <v>77</v>
      </c>
    </row>
    <row r="2" spans="1:12">
      <c r="A2" s="2">
        <v>0</v>
      </c>
      <c r="B2" t="s">
        <v>43</v>
      </c>
      <c r="C2" t="s">
        <v>43</v>
      </c>
      <c r="D2" t="s">
        <v>63</v>
      </c>
      <c r="E2" t="s">
        <v>63</v>
      </c>
      <c r="F2" t="s">
        <v>63</v>
      </c>
      <c r="G2" s="4">
        <v>0</v>
      </c>
      <c r="H2" s="4">
        <v>0.5</v>
      </c>
      <c r="I2" s="4">
        <v>0</v>
      </c>
      <c r="J2" s="4">
        <v>0</v>
      </c>
      <c r="K2" s="4">
        <v>0</v>
      </c>
      <c r="L2" t="s">
        <v>78</v>
      </c>
    </row>
    <row r="3" spans="1:12">
      <c r="A3" s="2">
        <v>1</v>
      </c>
      <c r="B3" t="s">
        <v>43</v>
      </c>
      <c r="C3" t="s">
        <v>44</v>
      </c>
      <c r="D3" t="s">
        <v>63</v>
      </c>
      <c r="E3" t="s">
        <v>63</v>
      </c>
      <c r="F3" t="s">
        <v>63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t="s">
        <v>78</v>
      </c>
    </row>
    <row r="4" spans="1:12">
      <c r="A4" s="2">
        <v>2</v>
      </c>
      <c r="B4" t="s">
        <v>43</v>
      </c>
      <c r="C4" t="s">
        <v>46</v>
      </c>
      <c r="D4" t="s">
        <v>63</v>
      </c>
      <c r="E4" t="s">
        <v>63</v>
      </c>
      <c r="F4" t="s">
        <v>63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t="s">
        <v>78</v>
      </c>
    </row>
    <row r="5" spans="1:12">
      <c r="A5" s="2">
        <v>3</v>
      </c>
      <c r="B5" t="s">
        <v>43</v>
      </c>
      <c r="C5" t="s">
        <v>43</v>
      </c>
      <c r="D5" t="s">
        <v>46</v>
      </c>
      <c r="E5" t="s">
        <v>63</v>
      </c>
      <c r="F5" t="s">
        <v>63</v>
      </c>
      <c r="G5" s="4">
        <v>0</v>
      </c>
      <c r="H5" s="4">
        <v>0.5</v>
      </c>
      <c r="I5" s="4">
        <v>0</v>
      </c>
      <c r="J5" s="4">
        <v>0</v>
      </c>
      <c r="K5" s="4">
        <v>0</v>
      </c>
      <c r="L5" t="s">
        <v>78</v>
      </c>
    </row>
    <row r="6" spans="1:12">
      <c r="A6" s="2">
        <v>4</v>
      </c>
      <c r="B6" t="s">
        <v>44</v>
      </c>
      <c r="C6" t="s">
        <v>47</v>
      </c>
      <c r="D6" t="s">
        <v>43</v>
      </c>
      <c r="E6" t="s">
        <v>63</v>
      </c>
      <c r="F6" t="s">
        <v>63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t="s">
        <v>78</v>
      </c>
    </row>
    <row r="7" spans="1:12">
      <c r="A7" s="2">
        <v>5</v>
      </c>
      <c r="B7" t="s">
        <v>47</v>
      </c>
      <c r="C7" t="s">
        <v>46</v>
      </c>
      <c r="D7" t="s">
        <v>63</v>
      </c>
      <c r="E7" t="s">
        <v>63</v>
      </c>
      <c r="F7" t="s">
        <v>63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t="s">
        <v>78</v>
      </c>
    </row>
    <row r="8" spans="1:12">
      <c r="A8" s="2">
        <v>6</v>
      </c>
      <c r="B8" t="s">
        <v>48</v>
      </c>
      <c r="C8" t="s">
        <v>63</v>
      </c>
      <c r="D8" t="s">
        <v>63</v>
      </c>
      <c r="E8" t="s">
        <v>63</v>
      </c>
      <c r="F8" t="s">
        <v>63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t="s">
        <v>79</v>
      </c>
    </row>
  </sheetData>
  <dataValidations count="1">
    <dataValidation allowBlank="1" showInputMessage="1" showErrorMessage="1" sqref="L1" xr:uid="{A74E3E8B-9C02-4981-BC09-65E150FA867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A0B652-EF00-4F0B-B2CD-26B9298221AE}">
          <x14:formula1>
            <xm:f>Tools!$L$2:$L$3</xm:f>
          </x14:formula1>
          <xm:sqref>L2:L1048576</xm:sqref>
        </x14:dataValidation>
        <x14:dataValidation type="list" allowBlank="1" showInputMessage="1" showErrorMessage="1" xr:uid="{09D322CB-DAFA-41C5-95BF-3C7FAA7C5034}">
          <x14:formula1>
            <xm:f>Tools!$H$2:$H$7</xm:f>
          </x14:formula1>
          <xm:sqref>B1:F1048576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3612-6656-4868-A0FB-164F450B54F0}">
  <dimension ref="A1:V14"/>
  <sheetViews>
    <sheetView workbookViewId="0">
      <selection activeCell="E18" sqref="E18"/>
    </sheetView>
  </sheetViews>
  <sheetFormatPr defaultRowHeight="15"/>
  <cols>
    <col min="1" max="1" width="15.85546875" bestFit="1" customWidth="1"/>
    <col min="2" max="2" width="17.28515625" bestFit="1" customWidth="1"/>
    <col min="3" max="4" width="17.28515625" customWidth="1"/>
    <col min="5" max="5" width="16.28515625" customWidth="1"/>
    <col min="6" max="6" width="15.5703125" customWidth="1"/>
    <col min="7" max="7" width="17.140625" customWidth="1"/>
    <col min="8" max="8" width="14.5703125" bestFit="1" customWidth="1"/>
    <col min="9" max="9" width="22.5703125" bestFit="1" customWidth="1"/>
    <col min="10" max="10" width="18.7109375" bestFit="1" customWidth="1"/>
    <col min="11" max="11" width="34.42578125" bestFit="1" customWidth="1"/>
    <col min="12" max="12" width="31.85546875" bestFit="1" customWidth="1"/>
    <col min="13" max="13" width="35" bestFit="1" customWidth="1"/>
    <col min="14" max="14" width="32.5703125" bestFit="1" customWidth="1"/>
    <col min="15" max="15" width="26.5703125" bestFit="1" customWidth="1"/>
    <col min="16" max="16" width="25.85546875" customWidth="1"/>
    <col min="17" max="17" width="18.85546875" bestFit="1" customWidth="1"/>
    <col min="18" max="18" width="16.28515625" bestFit="1" customWidth="1"/>
    <col min="19" max="19" width="26" bestFit="1" customWidth="1"/>
    <col min="20" max="20" width="23.28515625" bestFit="1" customWidth="1"/>
    <col min="21" max="22" width="9.140625" customWidth="1"/>
  </cols>
  <sheetData>
    <row r="1" spans="1:22">
      <c r="A1" s="34" t="s">
        <v>80</v>
      </c>
      <c r="B1" s="34"/>
      <c r="C1" s="6"/>
      <c r="D1" s="6"/>
    </row>
    <row r="2" spans="1:22">
      <c r="A2" t="s">
        <v>1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</row>
    <row r="3" spans="1:22">
      <c r="A3" s="9" t="s">
        <v>10</v>
      </c>
      <c r="B3" s="9" t="s">
        <v>11</v>
      </c>
      <c r="C3" s="10" t="s">
        <v>12</v>
      </c>
      <c r="D3" s="38">
        <v>0</v>
      </c>
      <c r="E3" s="11">
        <v>1</v>
      </c>
      <c r="F3" s="11">
        <v>3</v>
      </c>
      <c r="G3" s="11">
        <v>0</v>
      </c>
      <c r="H3" s="12" t="b">
        <v>0</v>
      </c>
      <c r="I3" s="11">
        <v>1</v>
      </c>
      <c r="J3" s="13">
        <f>ROUNDUP(Table6[[#This Row],[Intensity]]*Table6[[#This Row],[Perfect Hit Multiplier]], 0)</f>
        <v>1</v>
      </c>
      <c r="K3" s="13">
        <f>ROUNDUP(Table6[[#This Row],[Intensity]]*0.5,0)</f>
        <v>1</v>
      </c>
      <c r="L3" s="13">
        <f>ROUNDUP(Table6[[#This Row],[Intensity]]*2,0)</f>
        <v>2</v>
      </c>
      <c r="M3" s="13">
        <f>ROUNDUP(Table6[[#This Row],[Intensity]]*Table6[[#This Row],[Perfect Hit Multiplier]]*0.5, 0)</f>
        <v>1</v>
      </c>
      <c r="N3" s="13">
        <f>ROUNDUP(Table6[[#This Row],[Intensity]]*Table6[[#This Row],[Perfect Hit Multiplier]]*2, 0)</f>
        <v>2</v>
      </c>
      <c r="O3" s="14">
        <f>ROUND(Table6[[#This Row],[Intensity]]/Table6[[#This Row],[Preptime]], 2)</f>
        <v>0.33</v>
      </c>
      <c r="P3" s="13">
        <f>ROUND((Table6[[#This Row],[Intensity]]*Table6[[#This Row],[Perfect Hit Multiplier]])/Table6[[#This Row],[Preptime]], 2)</f>
        <v>0.33</v>
      </c>
      <c r="Q3" s="15">
        <f>ROUND((Table6[[#This Row],[Intensity]]* 0.5)/Table6[[#This Row],[Preptime]], 2)</f>
        <v>0.17</v>
      </c>
      <c r="R3" s="15">
        <f>ROUND((Table6[[#This Row],[Intensity]]* 2)/Table6[[#This Row],[Preptime]], 2)</f>
        <v>0.67</v>
      </c>
      <c r="S3" s="15">
        <f>ROUNDUP((Table6[[#This Row],[Intensity]]*Table6[[#This Row],[Perfect Hit Multiplier]]*0.5)/Table6[[#This Row],[Preptime]], 2)</f>
        <v>0.17</v>
      </c>
      <c r="T3" s="15">
        <f>ROUNDUP((Table6[[#This Row],[Intensity]]*Table6[[#This Row],[Perfect Hit Multiplier]]*2)/Table6[[#This Row],[Preptime]], 2)</f>
        <v>0.67</v>
      </c>
      <c r="U3" s="16" t="b">
        <f>IF(Table6[[#This Row],[Elemental Type]] = Tools!$A$2,FALSE,TRUE)</f>
        <v>1</v>
      </c>
      <c r="V3" s="16" t="b">
        <f>IF(Table6[[#This Row],[Perfectable?]],IF(Table6[[#This Row],[Elements]], TRUE, FALSE),FALSE)</f>
        <v>0</v>
      </c>
    </row>
    <row r="4" spans="1:22">
      <c r="A4" s="17" t="s">
        <v>14</v>
      </c>
      <c r="B4" s="9" t="s">
        <v>11</v>
      </c>
      <c r="C4" s="18" t="s">
        <v>12</v>
      </c>
      <c r="D4" s="39">
        <v>0</v>
      </c>
      <c r="E4" s="19">
        <v>2</v>
      </c>
      <c r="F4" s="19">
        <v>2</v>
      </c>
      <c r="G4" s="19">
        <v>1</v>
      </c>
      <c r="H4" s="20" t="b">
        <v>1</v>
      </c>
      <c r="I4" s="19">
        <v>1.5</v>
      </c>
      <c r="J4" s="21">
        <f>ROUNDUP(Table6[[#This Row],[Intensity]]*Table6[[#This Row],[Perfect Hit Multiplier]], 0)</f>
        <v>3</v>
      </c>
      <c r="K4" s="21">
        <f>ROUNDUP(Table6[[#This Row],[Intensity]]*0.5,0)</f>
        <v>1</v>
      </c>
      <c r="L4" s="21">
        <f>ROUNDUP(Table6[[#This Row],[Intensity]]*2,0)</f>
        <v>4</v>
      </c>
      <c r="M4" s="21">
        <f>ROUNDUP(Table6[[#This Row],[Intensity]]*Table6[[#This Row],[Perfect Hit Multiplier]]*0.5, 0)</f>
        <v>2</v>
      </c>
      <c r="N4" s="21">
        <f>ROUNDUP(Table6[[#This Row],[Intensity]]*Table6[[#This Row],[Perfect Hit Multiplier]]*2, 0)</f>
        <v>6</v>
      </c>
      <c r="O4" s="22">
        <f>ROUND(Table6[[#This Row],[Intensity]]/Table6[[#This Row],[Preptime]], 2)</f>
        <v>1</v>
      </c>
      <c r="P4" s="23">
        <f>ROUND((Table6[[#This Row],[Intensity]]*Table6[[#This Row],[Perfect Hit Multiplier]])/Table6[[#This Row],[Preptime]], 2)</f>
        <v>1.5</v>
      </c>
      <c r="Q4" s="23">
        <f>ROUND((Table6[[#This Row],[Intensity]]* 0.5)/Table6[[#This Row],[Preptime]], 2)</f>
        <v>0.5</v>
      </c>
      <c r="R4" s="23">
        <f>ROUND((Table6[[#This Row],[Intensity]]* 2)/Table6[[#This Row],[Preptime]], 2)</f>
        <v>2</v>
      </c>
      <c r="S4" s="23">
        <f>ROUNDUP((Table6[[#This Row],[Intensity]]*Table6[[#This Row],[Perfect Hit Multiplier]]*0.5)/Table6[[#This Row],[Preptime]], 2)</f>
        <v>0.75</v>
      </c>
      <c r="T4" s="23">
        <f>ROUNDUP((Table6[[#This Row],[Intensity]]*Table6[[#This Row],[Perfect Hit Multiplier]]*2)/Table6[[#This Row],[Preptime]], 2)</f>
        <v>3</v>
      </c>
      <c r="U4" s="24" t="b">
        <f>IF(Table6[[#This Row],[Elemental Type]] = Tools!$A$2,FALSE,TRUE)</f>
        <v>1</v>
      </c>
      <c r="V4" s="24" t="b">
        <f>IF(Table6[[#This Row],[Perfectable?]],IF(Table6[[#This Row],[Elements]], TRUE, FALSE),FALSE)</f>
        <v>1</v>
      </c>
    </row>
    <row r="5" spans="1:22">
      <c r="A5" s="17" t="s">
        <v>16</v>
      </c>
      <c r="B5" s="9" t="s">
        <v>11</v>
      </c>
      <c r="C5" s="18" t="s">
        <v>12</v>
      </c>
      <c r="D5" s="39">
        <v>0</v>
      </c>
      <c r="E5" s="19">
        <v>5</v>
      </c>
      <c r="F5" s="19">
        <v>3</v>
      </c>
      <c r="G5" s="19">
        <v>2</v>
      </c>
      <c r="H5" s="20" t="b">
        <v>1</v>
      </c>
      <c r="I5" s="19">
        <v>2</v>
      </c>
      <c r="J5" s="21">
        <f>ROUNDUP(Table6[[#This Row],[Intensity]]*Table6[[#This Row],[Perfect Hit Multiplier]], 0)</f>
        <v>10</v>
      </c>
      <c r="K5" s="21">
        <f>ROUNDUP(Table6[[#This Row],[Intensity]]*0.5,0)</f>
        <v>3</v>
      </c>
      <c r="L5" s="21">
        <f>ROUNDUP(Table6[[#This Row],[Intensity]]*2,0)</f>
        <v>10</v>
      </c>
      <c r="M5" s="21">
        <f>ROUNDUP(Table6[[#This Row],[Intensity]]*Table6[[#This Row],[Perfect Hit Multiplier]]*0.5, 0)</f>
        <v>5</v>
      </c>
      <c r="N5" s="21">
        <f>ROUNDUP(Table6[[#This Row],[Intensity]]*Table6[[#This Row],[Perfect Hit Multiplier]]*2, 0)</f>
        <v>20</v>
      </c>
      <c r="O5" s="22">
        <f>ROUND(Table6[[#This Row],[Intensity]]/Table6[[#This Row],[Preptime]], 2)</f>
        <v>1.67</v>
      </c>
      <c r="P5" s="23">
        <f>ROUND((Table6[[#This Row],[Intensity]]*Table6[[#This Row],[Perfect Hit Multiplier]])/Table6[[#This Row],[Preptime]], 2)</f>
        <v>3.33</v>
      </c>
      <c r="Q5" s="23">
        <f>ROUND((Table6[[#This Row],[Intensity]]* 0.5)/Table6[[#This Row],[Preptime]], 2)</f>
        <v>0.83</v>
      </c>
      <c r="R5" s="23">
        <f>ROUND((Table6[[#This Row],[Intensity]]* 2)/Table6[[#This Row],[Preptime]], 2)</f>
        <v>3.33</v>
      </c>
      <c r="S5" s="23">
        <f>ROUNDUP((Table6[[#This Row],[Intensity]]*Table6[[#This Row],[Perfect Hit Multiplier]]*0.5)/Table6[[#This Row],[Preptime]], 2)</f>
        <v>1.67</v>
      </c>
      <c r="T5" s="23">
        <f>ROUNDUP((Table6[[#This Row],[Intensity]]*Table6[[#This Row],[Perfect Hit Multiplier]]*2)/Table6[[#This Row],[Preptime]], 2)</f>
        <v>6.67</v>
      </c>
      <c r="U5" s="24" t="b">
        <f>IF(Table6[[#This Row],[Elemental Type]] = Tools!$A$2,FALSE,TRUE)</f>
        <v>1</v>
      </c>
      <c r="V5" s="24" t="b">
        <f>IF(Table6[[#This Row],[Perfectable?]],IF(Table6[[#This Row],[Elements]], TRUE, FALSE),FALSE)</f>
        <v>1</v>
      </c>
    </row>
    <row r="6" spans="1:22">
      <c r="A6" s="17" t="s">
        <v>18</v>
      </c>
      <c r="B6" s="9" t="s">
        <v>11</v>
      </c>
      <c r="C6" s="18" t="s">
        <v>19</v>
      </c>
      <c r="D6" s="39">
        <v>0</v>
      </c>
      <c r="E6" s="19">
        <v>0</v>
      </c>
      <c r="F6" s="19">
        <v>1</v>
      </c>
      <c r="G6" s="19">
        <v>0</v>
      </c>
      <c r="H6" s="20" t="b">
        <v>0</v>
      </c>
      <c r="I6" s="19">
        <v>1</v>
      </c>
      <c r="J6" s="21">
        <f>ROUNDUP(Table6[[#This Row],[Intensity]]*Table6[[#This Row],[Perfect Hit Multiplier]], 0)</f>
        <v>0</v>
      </c>
      <c r="K6" s="21">
        <f>ROUNDUP(Table6[[#This Row],[Intensity]]*0.5,0)</f>
        <v>0</v>
      </c>
      <c r="L6" s="21">
        <f>ROUNDUP(Table6[[#This Row],[Intensity]]*2,0)</f>
        <v>0</v>
      </c>
      <c r="M6" s="21">
        <f>ROUNDUP(Table6[[#This Row],[Intensity]]*Table6[[#This Row],[Perfect Hit Multiplier]]*0.5, 0)</f>
        <v>0</v>
      </c>
      <c r="N6" s="21">
        <f>ROUNDUP(Table6[[#This Row],[Intensity]]*Table6[[#This Row],[Perfect Hit Multiplier]]*2, 0)</f>
        <v>0</v>
      </c>
      <c r="O6" s="22">
        <f>ROUND(Table6[[#This Row],[Intensity]]/Table6[[#This Row],[Preptime]], 2)</f>
        <v>0</v>
      </c>
      <c r="P6" s="21">
        <f>ROUND((Table6[[#This Row],[Intensity]]*Table6[[#This Row],[Perfect Hit Multiplier]])/Table6[[#This Row],[Preptime]], 2)</f>
        <v>0</v>
      </c>
      <c r="Q6" s="23">
        <f>ROUND((Table6[[#This Row],[Intensity]]* 0.5)/Table6[[#This Row],[Preptime]], 2)</f>
        <v>0</v>
      </c>
      <c r="R6" s="23">
        <f>ROUND((Table6[[#This Row],[Intensity]]* 2)/Table6[[#This Row],[Preptime]], 2)</f>
        <v>0</v>
      </c>
      <c r="S6" s="23">
        <f>ROUNDUP((Table6[[#This Row],[Intensity]]*Table6[[#This Row],[Perfect Hit Multiplier]]*0.5)/Table6[[#This Row],[Preptime]], 2)</f>
        <v>0</v>
      </c>
      <c r="T6" s="23">
        <f>ROUNDUP((Table6[[#This Row],[Intensity]]*Table6[[#This Row],[Perfect Hit Multiplier]]*2)/Table6[[#This Row],[Preptime]], 2)</f>
        <v>0</v>
      </c>
      <c r="U6" s="24" t="b">
        <f>IF(Table6[[#This Row],[Elemental Type]] = Tools!$A$2,FALSE,TRUE)</f>
        <v>1</v>
      </c>
      <c r="V6" s="24" t="b">
        <f>IF(Table6[[#This Row],[Perfectable?]],IF(Table6[[#This Row],[Elements]], TRUE, FALSE),FALSE)</f>
        <v>0</v>
      </c>
    </row>
    <row r="7" spans="1:22">
      <c r="A7" s="17" t="s">
        <v>21</v>
      </c>
      <c r="B7" s="9" t="s">
        <v>11</v>
      </c>
      <c r="C7" s="18" t="s">
        <v>19</v>
      </c>
      <c r="D7" s="39">
        <v>0</v>
      </c>
      <c r="E7" s="19">
        <v>1</v>
      </c>
      <c r="F7" s="19">
        <v>2</v>
      </c>
      <c r="G7" s="19">
        <v>1</v>
      </c>
      <c r="H7" s="20" t="b">
        <v>0</v>
      </c>
      <c r="I7" s="19">
        <v>2</v>
      </c>
      <c r="J7" s="21">
        <f>ROUNDUP(Table6[[#This Row],[Intensity]]*Table6[[#This Row],[Perfect Hit Multiplier]], 0)</f>
        <v>2</v>
      </c>
      <c r="K7" s="21">
        <f>ROUNDUP(Table6[[#This Row],[Intensity]]*0.5,0)</f>
        <v>1</v>
      </c>
      <c r="L7" s="21">
        <f>ROUNDUP(Table6[[#This Row],[Intensity]]*2,0)</f>
        <v>2</v>
      </c>
      <c r="M7" s="21">
        <f>ROUNDUP(Table6[[#This Row],[Intensity]]*Table6[[#This Row],[Perfect Hit Multiplier]]*0.5, 0)</f>
        <v>1</v>
      </c>
      <c r="N7" s="21">
        <f>ROUNDUP(Table6[[#This Row],[Intensity]]*Table6[[#This Row],[Perfect Hit Multiplier]]*2, 0)</f>
        <v>4</v>
      </c>
      <c r="O7" s="22">
        <f>ROUND(Table6[[#This Row],[Intensity]]/Table6[[#This Row],[Preptime]], 2)</f>
        <v>0.5</v>
      </c>
      <c r="P7" s="21">
        <f>ROUND((Table6[[#This Row],[Intensity]]*Table6[[#This Row],[Perfect Hit Multiplier]])/Table6[[#This Row],[Preptime]], 2)</f>
        <v>1</v>
      </c>
      <c r="Q7" s="23">
        <f>ROUND((Table6[[#This Row],[Intensity]]* 0.5)/Table6[[#This Row],[Preptime]], 2)</f>
        <v>0.25</v>
      </c>
      <c r="R7" s="23">
        <f>ROUND((Table6[[#This Row],[Intensity]]* 2)/Table6[[#This Row],[Preptime]], 2)</f>
        <v>1</v>
      </c>
      <c r="S7" s="23">
        <f>ROUNDUP((Table6[[#This Row],[Intensity]]*Table6[[#This Row],[Perfect Hit Multiplier]]*0.5)/Table6[[#This Row],[Preptime]], 2)</f>
        <v>0.5</v>
      </c>
      <c r="T7" s="23">
        <f>ROUNDUP((Table6[[#This Row],[Intensity]]*Table6[[#This Row],[Perfect Hit Multiplier]]*2)/Table6[[#This Row],[Preptime]], 2)</f>
        <v>2</v>
      </c>
      <c r="U7" s="24" t="b">
        <f>IF(Table6[[#This Row],[Elemental Type]] = Tools!$A$2,FALSE,TRUE)</f>
        <v>1</v>
      </c>
      <c r="V7" s="24" t="b">
        <f>IF(Table6[[#This Row],[Perfectable?]],IF(Table6[[#This Row],[Elements]], TRUE, FALSE),FALSE)</f>
        <v>0</v>
      </c>
    </row>
    <row r="8" spans="1:22">
      <c r="A8" s="17" t="s">
        <v>23</v>
      </c>
      <c r="B8" s="17" t="s">
        <v>24</v>
      </c>
      <c r="C8" s="18" t="s">
        <v>12</v>
      </c>
      <c r="D8" s="39">
        <v>0</v>
      </c>
      <c r="E8" s="19">
        <v>1</v>
      </c>
      <c r="F8" s="19">
        <v>1</v>
      </c>
      <c r="G8" s="19">
        <v>1</v>
      </c>
      <c r="H8" s="20" t="b">
        <v>1</v>
      </c>
      <c r="I8" s="19">
        <v>1.5</v>
      </c>
      <c r="J8" s="21">
        <f>ROUNDUP(Table6[[#This Row],[Intensity]]*Table6[[#This Row],[Perfect Hit Multiplier]], 0)</f>
        <v>2</v>
      </c>
      <c r="K8" s="21">
        <f>ROUNDUP(Table6[[#This Row],[Intensity]]*0.5,0)</f>
        <v>1</v>
      </c>
      <c r="L8" s="21">
        <f>ROUNDUP(Table6[[#This Row],[Intensity]]*2,0)</f>
        <v>2</v>
      </c>
      <c r="M8" s="21">
        <f>ROUNDUP(Table6[[#This Row],[Intensity]]*Table6[[#This Row],[Perfect Hit Multiplier]]*0.5, 0)</f>
        <v>1</v>
      </c>
      <c r="N8" s="21">
        <f>ROUNDUP(Table6[[#This Row],[Intensity]]*Table6[[#This Row],[Perfect Hit Multiplier]]*2, 0)</f>
        <v>3</v>
      </c>
      <c r="O8" s="22">
        <f>ROUND(Table6[[#This Row],[Intensity]]/Table6[[#This Row],[Preptime]], 2)</f>
        <v>1</v>
      </c>
      <c r="P8" s="21">
        <f>ROUND((Table6[[#This Row],[Intensity]]*Table6[[#This Row],[Perfect Hit Multiplier]])/Table6[[#This Row],[Preptime]], 2)</f>
        <v>1.5</v>
      </c>
      <c r="Q8" s="23">
        <f>ROUND((Table6[[#This Row],[Intensity]]* 0.5)/Table6[[#This Row],[Preptime]], 2)</f>
        <v>0.5</v>
      </c>
      <c r="R8" s="23">
        <f>ROUND((Table6[[#This Row],[Intensity]]* 2)/Table6[[#This Row],[Preptime]], 2)</f>
        <v>2</v>
      </c>
      <c r="S8" s="23">
        <f>ROUNDUP((Table6[[#This Row],[Intensity]]*Table6[[#This Row],[Perfect Hit Multiplier]]*0.5)/Table6[[#This Row],[Preptime]], 2)</f>
        <v>0.75</v>
      </c>
      <c r="T8" s="23">
        <f>ROUNDUP((Table6[[#This Row],[Intensity]]*Table6[[#This Row],[Perfect Hit Multiplier]]*2)/Table6[[#This Row],[Preptime]], 2)</f>
        <v>3</v>
      </c>
      <c r="U8" s="24" t="b">
        <f>IF(Table6[[#This Row],[Elemental Type]] = Tools!$A$2,FALSE,TRUE)</f>
        <v>1</v>
      </c>
      <c r="V8" s="24" t="b">
        <f>IF(Table6[[#This Row],[Perfectable?]],IF(Table6[[#This Row],[Elements]], TRUE, FALSE),FALSE)</f>
        <v>1</v>
      </c>
    </row>
    <row r="9" spans="1:22">
      <c r="A9" s="17" t="s">
        <v>26</v>
      </c>
      <c r="B9" s="17" t="s">
        <v>27</v>
      </c>
      <c r="C9" s="18" t="s">
        <v>12</v>
      </c>
      <c r="D9" s="39">
        <v>0</v>
      </c>
      <c r="E9" s="19">
        <v>4</v>
      </c>
      <c r="F9" s="19">
        <v>3</v>
      </c>
      <c r="G9" s="19">
        <v>3</v>
      </c>
      <c r="H9" s="20" t="b">
        <v>1</v>
      </c>
      <c r="I9" s="19">
        <v>2</v>
      </c>
      <c r="J9" s="21">
        <f>ROUNDUP(Table6[[#This Row],[Intensity]]*Table6[[#This Row],[Perfect Hit Multiplier]], 0)</f>
        <v>8</v>
      </c>
      <c r="K9" s="21">
        <f>ROUNDUP(Table6[[#This Row],[Intensity]]*0.5,0)</f>
        <v>2</v>
      </c>
      <c r="L9" s="21">
        <f>ROUNDUP(Table6[[#This Row],[Intensity]]*2,0)</f>
        <v>8</v>
      </c>
      <c r="M9" s="21">
        <f>ROUNDUP(Table6[[#This Row],[Intensity]]*Table6[[#This Row],[Perfect Hit Multiplier]]*0.5, 0)</f>
        <v>4</v>
      </c>
      <c r="N9" s="21">
        <f>ROUNDUP(Table6[[#This Row],[Intensity]]*Table6[[#This Row],[Perfect Hit Multiplier]]*2, 0)</f>
        <v>16</v>
      </c>
      <c r="O9" s="22">
        <f>ROUND(Table6[[#This Row],[Intensity]]/Table6[[#This Row],[Preptime]], 2)</f>
        <v>1.33</v>
      </c>
      <c r="P9" s="21">
        <f>ROUND((Table6[[#This Row],[Intensity]]*Table6[[#This Row],[Perfect Hit Multiplier]])/Table6[[#This Row],[Preptime]], 2)</f>
        <v>2.67</v>
      </c>
      <c r="Q9" s="23">
        <f>ROUND((Table6[[#This Row],[Intensity]]* 0.5)/Table6[[#This Row],[Preptime]], 2)</f>
        <v>0.67</v>
      </c>
      <c r="R9" s="23">
        <f>ROUND((Table6[[#This Row],[Intensity]]* 2)/Table6[[#This Row],[Preptime]], 2)</f>
        <v>2.67</v>
      </c>
      <c r="S9" s="23">
        <f>ROUNDUP((Table6[[#This Row],[Intensity]]*Table6[[#This Row],[Perfect Hit Multiplier]]*0.5)/Table6[[#This Row],[Preptime]], 2)</f>
        <v>1.34</v>
      </c>
      <c r="T9" s="23">
        <f>ROUNDUP((Table6[[#This Row],[Intensity]]*Table6[[#This Row],[Perfect Hit Multiplier]]*2)/Table6[[#This Row],[Preptime]], 2)</f>
        <v>5.34</v>
      </c>
      <c r="U9" s="24" t="b">
        <f>IF(Table6[[#This Row],[Elemental Type]] = Tools!$A$2,FALSE,TRUE)</f>
        <v>1</v>
      </c>
      <c r="V9" s="24" t="b">
        <f>IF(Table6[[#This Row],[Perfectable?]],IF(Table6[[#This Row],[Elements]], TRUE, FALSE),FALSE)</f>
        <v>1</v>
      </c>
    </row>
    <row r="10" spans="1:22">
      <c r="A10" s="25" t="s">
        <v>29</v>
      </c>
      <c r="B10" s="25" t="s">
        <v>30</v>
      </c>
      <c r="C10" s="26" t="s">
        <v>12</v>
      </c>
      <c r="D10" s="40">
        <v>0</v>
      </c>
      <c r="E10" s="27">
        <v>2</v>
      </c>
      <c r="F10" s="27">
        <v>2</v>
      </c>
      <c r="G10" s="27">
        <v>2</v>
      </c>
      <c r="H10" s="28" t="b">
        <v>1</v>
      </c>
      <c r="I10" s="27">
        <v>1.5</v>
      </c>
      <c r="J10" s="29">
        <f>ROUNDUP(Table6[[#This Row],[Intensity]]*Table6[[#This Row],[Perfect Hit Multiplier]], 0)</f>
        <v>3</v>
      </c>
      <c r="K10" s="29">
        <f>ROUNDUP(Table6[[#This Row],[Intensity]]*0.5,0)</f>
        <v>1</v>
      </c>
      <c r="L10" s="29">
        <f>ROUNDUP(Table6[[#This Row],[Intensity]]*2,0)</f>
        <v>4</v>
      </c>
      <c r="M10" s="29">
        <f>ROUNDUP(Table6[[#This Row],[Intensity]]*Table6[[#This Row],[Perfect Hit Multiplier]]*0.5, 0)</f>
        <v>2</v>
      </c>
      <c r="N10" s="29">
        <f>ROUNDUP(Table6[[#This Row],[Intensity]]*Table6[[#This Row],[Perfect Hit Multiplier]]*2, 0)</f>
        <v>6</v>
      </c>
      <c r="O10" s="30">
        <f>ROUND(Table6[[#This Row],[Intensity]]/Table6[[#This Row],[Preptime]], 2)</f>
        <v>1</v>
      </c>
      <c r="P10" s="29">
        <f>ROUND((Table6[[#This Row],[Intensity]]*Table6[[#This Row],[Perfect Hit Multiplier]])/Table6[[#This Row],[Preptime]], 2)</f>
        <v>1.5</v>
      </c>
      <c r="Q10" s="31">
        <f>ROUND((Table6[[#This Row],[Intensity]]* 0.5)/Table6[[#This Row],[Preptime]], 2)</f>
        <v>0.5</v>
      </c>
      <c r="R10" s="31">
        <f>ROUND((Table6[[#This Row],[Intensity]]* 2)/Table6[[#This Row],[Preptime]], 2)</f>
        <v>2</v>
      </c>
      <c r="S10" s="31">
        <f>ROUNDUP((Table6[[#This Row],[Intensity]]*Table6[[#This Row],[Perfect Hit Multiplier]]*0.5)/Table6[[#This Row],[Preptime]], 2)</f>
        <v>0.75</v>
      </c>
      <c r="T10" s="31">
        <f>ROUNDUP((Table6[[#This Row],[Intensity]]*Table6[[#This Row],[Perfect Hit Multiplier]]*2)/Table6[[#This Row],[Preptime]], 2)</f>
        <v>3</v>
      </c>
      <c r="U10" s="32" t="b">
        <f>IF(Table6[[#This Row],[Elemental Type]] = Tools!$A$2,FALSE,TRUE)</f>
        <v>1</v>
      </c>
      <c r="V10" s="32" t="b">
        <f>IF(Table6[[#This Row],[Perfectable?]],IF(Table6[[#This Row],[Elements]], TRUE, FALSE),FALSE)</f>
        <v>1</v>
      </c>
    </row>
    <row r="11" spans="1:22">
      <c r="A11" s="17" t="s">
        <v>32</v>
      </c>
      <c r="B11" s="25" t="s">
        <v>30</v>
      </c>
      <c r="C11" s="18" t="s">
        <v>12</v>
      </c>
      <c r="D11" s="39">
        <v>0</v>
      </c>
      <c r="E11" s="19">
        <v>1</v>
      </c>
      <c r="F11" s="19">
        <v>2</v>
      </c>
      <c r="G11" s="19">
        <v>1</v>
      </c>
      <c r="H11" s="20" t="b">
        <v>1</v>
      </c>
      <c r="I11" s="19">
        <v>1.5</v>
      </c>
      <c r="J11" s="21">
        <f>ROUNDUP(Table6[[#This Row],[Intensity]]*Table6[[#This Row],[Perfect Hit Multiplier]], 0)</f>
        <v>2</v>
      </c>
      <c r="K11" s="21">
        <f>ROUNDUP(Table6[[#This Row],[Intensity]]*0.5,0)</f>
        <v>1</v>
      </c>
      <c r="L11" s="21">
        <f>ROUNDUP(Table6[[#This Row],[Intensity]]*2,0)</f>
        <v>2</v>
      </c>
      <c r="M11" s="21">
        <f>ROUNDUP(Table6[[#This Row],[Intensity]]*Table6[[#This Row],[Perfect Hit Multiplier]]*0.5, 0)</f>
        <v>1</v>
      </c>
      <c r="N11" s="21">
        <f>ROUNDUP(Table6[[#This Row],[Intensity]]*Table6[[#This Row],[Perfect Hit Multiplier]]*2, 0)</f>
        <v>3</v>
      </c>
      <c r="O11" s="22">
        <f>ROUND(Table6[[#This Row],[Intensity]]/Table6[[#This Row],[Preptime]], 2)</f>
        <v>0.5</v>
      </c>
      <c r="P11" s="21">
        <f>ROUND((Table6[[#This Row],[Intensity]]*Table6[[#This Row],[Perfect Hit Multiplier]])/Table6[[#This Row],[Preptime]], 2)</f>
        <v>0.75</v>
      </c>
      <c r="Q11" s="23">
        <f>ROUND((Table6[[#This Row],[Intensity]]* 0.5)/Table6[[#This Row],[Preptime]], 2)</f>
        <v>0.25</v>
      </c>
      <c r="R11" s="23">
        <f>ROUND((Table6[[#This Row],[Intensity]]* 2)/Table6[[#This Row],[Preptime]], 2)</f>
        <v>1</v>
      </c>
      <c r="S11" s="23">
        <f>ROUNDUP((Table6[[#This Row],[Intensity]]*Table6[[#This Row],[Perfect Hit Multiplier]]*0.5)/Table6[[#This Row],[Preptime]], 2)</f>
        <v>0.38</v>
      </c>
      <c r="T11" s="23">
        <f>ROUNDUP((Table6[[#This Row],[Intensity]]*Table6[[#This Row],[Perfect Hit Multiplier]]*2)/Table6[[#This Row],[Preptime]], 2)</f>
        <v>1.5</v>
      </c>
      <c r="U11" s="24" t="b">
        <f>IF(Table6[[#This Row],[Elemental Type]] = Tools!$A$2,FALSE,TRUE)</f>
        <v>1</v>
      </c>
      <c r="V11" s="24" t="b">
        <f>IF(Table6[[#This Row],[Perfectable?]],IF(Table6[[#This Row],[Elements]], TRUE, FALSE),FALSE)</f>
        <v>1</v>
      </c>
    </row>
    <row r="12" spans="1:22">
      <c r="A12" s="25" t="s">
        <v>34</v>
      </c>
      <c r="B12" s="17" t="s">
        <v>24</v>
      </c>
      <c r="C12" s="26" t="s">
        <v>12</v>
      </c>
      <c r="D12" s="40">
        <v>0</v>
      </c>
      <c r="E12" s="27">
        <v>5</v>
      </c>
      <c r="F12" s="27">
        <v>5</v>
      </c>
      <c r="G12" s="27">
        <v>4</v>
      </c>
      <c r="H12" s="28" t="b">
        <v>1</v>
      </c>
      <c r="I12" s="27">
        <v>2</v>
      </c>
      <c r="J12" s="29">
        <f>ROUNDUP(Table6[[#This Row],[Intensity]]*Table6[[#This Row],[Perfect Hit Multiplier]], 0)</f>
        <v>10</v>
      </c>
      <c r="K12" s="29">
        <f>ROUNDUP(Table6[[#This Row],[Intensity]]*0.5,0)</f>
        <v>3</v>
      </c>
      <c r="L12" s="29">
        <f>ROUNDUP(Table6[[#This Row],[Intensity]]*2,0)</f>
        <v>10</v>
      </c>
      <c r="M12" s="29">
        <f>ROUNDUP(Table6[[#This Row],[Intensity]]*Table6[[#This Row],[Perfect Hit Multiplier]]*0.5, 0)</f>
        <v>5</v>
      </c>
      <c r="N12" s="29">
        <f>ROUNDUP(Table6[[#This Row],[Intensity]]*Table6[[#This Row],[Perfect Hit Multiplier]]*2, 0)</f>
        <v>20</v>
      </c>
      <c r="O12" s="30">
        <f>ROUND(Table6[[#This Row],[Intensity]]/Table6[[#This Row],[Preptime]], 2)</f>
        <v>1</v>
      </c>
      <c r="P12" s="29">
        <f>ROUND((Table6[[#This Row],[Intensity]]*Table6[[#This Row],[Perfect Hit Multiplier]])/Table6[[#This Row],[Preptime]], 2)</f>
        <v>2</v>
      </c>
      <c r="Q12" s="31">
        <f>ROUND((Table6[[#This Row],[Intensity]]* 0.5)/Table6[[#This Row],[Preptime]], 2)</f>
        <v>0.5</v>
      </c>
      <c r="R12" s="31">
        <f>ROUND((Table6[[#This Row],[Intensity]]* 2)/Table6[[#This Row],[Preptime]], 2)</f>
        <v>2</v>
      </c>
      <c r="S12" s="31">
        <f>ROUNDUP((Table6[[#This Row],[Intensity]]*Table6[[#This Row],[Perfect Hit Multiplier]]*0.5)/Table6[[#This Row],[Preptime]], 2)</f>
        <v>1</v>
      </c>
      <c r="T12" s="31">
        <f>ROUNDUP((Table6[[#This Row],[Intensity]]*Table6[[#This Row],[Perfect Hit Multiplier]]*2)/Table6[[#This Row],[Preptime]], 2)</f>
        <v>4</v>
      </c>
      <c r="U12" s="32" t="b">
        <f>IF(Table6[[#This Row],[Elemental Type]] = Tools!$A$2,FALSE,TRUE)</f>
        <v>1</v>
      </c>
      <c r="V12" s="32" t="b">
        <f>IF(Table6[[#This Row],[Perfectable?]],IF(Table6[[#This Row],[Elements]], TRUE, FALSE),FALSE)</f>
        <v>1</v>
      </c>
    </row>
    <row r="13" spans="1:22">
      <c r="A13" s="25" t="s">
        <v>36</v>
      </c>
      <c r="B13" s="17" t="s">
        <v>27</v>
      </c>
      <c r="C13" s="26" t="s">
        <v>12</v>
      </c>
      <c r="D13" s="40">
        <v>0</v>
      </c>
      <c r="E13" s="27">
        <v>1</v>
      </c>
      <c r="F13" s="27">
        <v>1</v>
      </c>
      <c r="G13" s="27">
        <v>1</v>
      </c>
      <c r="H13" s="28" t="b">
        <v>1</v>
      </c>
      <c r="I13" s="27">
        <v>1.5</v>
      </c>
      <c r="J13" s="29">
        <f>ROUNDUP(Table6[[#This Row],[Intensity]]*Table6[[#This Row],[Perfect Hit Multiplier]], 0)</f>
        <v>2</v>
      </c>
      <c r="K13" s="29">
        <f>ROUNDUP(Table6[[#This Row],[Intensity]]*0.5,0)</f>
        <v>1</v>
      </c>
      <c r="L13" s="29">
        <f>ROUNDUP(Table6[[#This Row],[Intensity]]*2,0)</f>
        <v>2</v>
      </c>
      <c r="M13" s="29">
        <f>ROUNDUP(Table6[[#This Row],[Intensity]]*Table6[[#This Row],[Perfect Hit Multiplier]]*0.5, 0)</f>
        <v>1</v>
      </c>
      <c r="N13" s="29">
        <f>ROUNDUP(Table6[[#This Row],[Intensity]]*Table6[[#This Row],[Perfect Hit Multiplier]]*2, 0)</f>
        <v>3</v>
      </c>
      <c r="O13" s="30">
        <f>ROUND(Table6[[#This Row],[Intensity]]/Table6[[#This Row],[Preptime]], 2)</f>
        <v>1</v>
      </c>
      <c r="P13" s="29">
        <f>ROUND((Table6[[#This Row],[Intensity]]*Table6[[#This Row],[Perfect Hit Multiplier]])/Table6[[#This Row],[Preptime]], 2)</f>
        <v>1.5</v>
      </c>
      <c r="Q13" s="31">
        <f>ROUND((Table6[[#This Row],[Intensity]]* 0.5)/Table6[[#This Row],[Preptime]], 2)</f>
        <v>0.5</v>
      </c>
      <c r="R13" s="31">
        <f>ROUND((Table6[[#This Row],[Intensity]]* 2)/Table6[[#This Row],[Preptime]], 2)</f>
        <v>2</v>
      </c>
      <c r="S13" s="31">
        <f>ROUNDUP((Table6[[#This Row],[Intensity]]*Table6[[#This Row],[Perfect Hit Multiplier]]*0.5)/Table6[[#This Row],[Preptime]], 2)</f>
        <v>0.75</v>
      </c>
      <c r="T13" s="31">
        <f>ROUNDUP((Table6[[#This Row],[Intensity]]*Table6[[#This Row],[Perfect Hit Multiplier]]*2)/Table6[[#This Row],[Preptime]], 2)</f>
        <v>3</v>
      </c>
      <c r="U13" s="32" t="b">
        <f>IF(Table6[[#This Row],[Elemental Type]] = Tools!$A$2,FALSE,TRUE)</f>
        <v>1</v>
      </c>
      <c r="V13" s="32" t="b">
        <f>IF(Table6[[#This Row],[Perfectable?]],IF(Table6[[#This Row],[Elements]], TRUE, FALSE),FALSE)</f>
        <v>1</v>
      </c>
    </row>
    <row r="14" spans="1:22">
      <c r="A14" s="25" t="s">
        <v>38</v>
      </c>
      <c r="B14" s="25" t="s">
        <v>39</v>
      </c>
      <c r="C14" s="26" t="s">
        <v>12</v>
      </c>
      <c r="D14" s="40">
        <v>3</v>
      </c>
      <c r="E14" s="27">
        <v>5</v>
      </c>
      <c r="F14" s="27">
        <v>3</v>
      </c>
      <c r="G14" s="27">
        <v>5</v>
      </c>
      <c r="H14" s="28" t="b">
        <v>1</v>
      </c>
      <c r="I14" s="27">
        <v>2.5</v>
      </c>
      <c r="J14" s="36">
        <f>ROUNDUP(Table6[[#This Row],[Intensity]]*Table6[[#This Row],[Perfect Hit Multiplier]], 0)</f>
        <v>13</v>
      </c>
      <c r="K14" s="36">
        <f>ROUNDUP(Table6[[#This Row],[Intensity]]*0.5,0)</f>
        <v>3</v>
      </c>
      <c r="L14" s="36">
        <f>ROUNDUP(Table6[[#This Row],[Intensity]]*2,0)</f>
        <v>10</v>
      </c>
      <c r="M14" s="36">
        <f>ROUNDUP(Table6[[#This Row],[Intensity]]*Table6[[#This Row],[Perfect Hit Multiplier]]*0.5, 0)</f>
        <v>7</v>
      </c>
      <c r="N14" s="36">
        <f>ROUNDUP(Table6[[#This Row],[Intensity]]*Table6[[#This Row],[Perfect Hit Multiplier]]*2, 0)</f>
        <v>25</v>
      </c>
      <c r="O14" s="30">
        <f>ROUND(Table6[[#This Row],[Intensity]]/Table6[[#This Row],[Preptime]], 2)</f>
        <v>1.67</v>
      </c>
      <c r="P14" s="36">
        <f>ROUND((Table6[[#This Row],[Intensity]]*Table6[[#This Row],[Perfect Hit Multiplier]])/Table6[[#This Row],[Preptime]], 2)</f>
        <v>4.17</v>
      </c>
      <c r="Q14" s="31">
        <f>ROUND((Table6[[#This Row],[Intensity]]* 0.5)/Table6[[#This Row],[Preptime]], 2)</f>
        <v>0.83</v>
      </c>
      <c r="R14" s="31">
        <f>ROUND((Table6[[#This Row],[Intensity]]* 2)/Table6[[#This Row],[Preptime]], 2)</f>
        <v>3.33</v>
      </c>
      <c r="S14" s="31">
        <f>ROUNDUP((Table6[[#This Row],[Intensity]]*Table6[[#This Row],[Perfect Hit Multiplier]]*0.5)/Table6[[#This Row],[Preptime]], 2)</f>
        <v>2.09</v>
      </c>
      <c r="T14" s="31">
        <f>ROUNDUP((Table6[[#This Row],[Intensity]]*Table6[[#This Row],[Perfect Hit Multiplier]]*2)/Table6[[#This Row],[Preptime]], 2)</f>
        <v>8.34</v>
      </c>
      <c r="U14" s="37" t="b">
        <f>IF(Table6[[#This Row],[Elemental Type]] = Tools!$A$2,FALSE,TRUE)</f>
        <v>1</v>
      </c>
      <c r="V14" s="37" t="b">
        <f>IF(Table6[[#This Row],[Perfectable?]],IF(Table6[[#This Row],[Elements]], TRUE, FALSE),FALSE)</f>
        <v>1</v>
      </c>
    </row>
  </sheetData>
  <mergeCells count="1">
    <mergeCell ref="A1:B1"/>
  </mergeCells>
  <conditionalFormatting sqref="I3:I14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{97CDC594-B4A2-4EA6-A9D4-6DEEE983D598}</x14:id>
        </ext>
      </extLst>
    </cfRule>
  </conditionalFormatting>
  <conditionalFormatting sqref="E3:E14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{40A5B2D3-590B-4CAD-AD1F-B9302927F4C4}</x14:id>
        </ext>
      </extLst>
    </cfRule>
  </conditionalFormatting>
  <conditionalFormatting sqref="F3:F14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{E0113134-FBB5-4C1D-B559-8FA62FE434FA}</x14:id>
        </ext>
      </extLst>
    </cfRule>
  </conditionalFormatting>
  <conditionalFormatting sqref="F3:F1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{B79E1E16-117F-4464-A0DE-173E2AF04F98}</x14:id>
        </ext>
      </extLst>
    </cfRule>
  </conditionalFormatting>
  <conditionalFormatting sqref="G3:G14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{37916E8E-CE16-4B3C-BFD8-5A9B772C2A49}</x14:id>
        </ext>
      </extLst>
    </cfRule>
  </conditionalFormatting>
  <conditionalFormatting sqref="E3:E14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{499AD802-3788-4E0C-B86F-F8D9E7BCC1CF}</x14:id>
        </ext>
      </extLst>
    </cfRule>
  </conditionalFormatting>
  <conditionalFormatting sqref="J3:J14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{1C96B81A-524F-404C-A73A-EF8F04A256D9}</x14:id>
        </ext>
      </extLst>
    </cfRule>
  </conditionalFormatting>
  <conditionalFormatting sqref="J3:J14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{5C06CEC0-F84A-48B1-8807-4D56D62189F0}</x14:id>
        </ext>
      </extLst>
    </cfRule>
  </conditionalFormatting>
  <conditionalFormatting sqref="E3:E14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{1574560F-EC98-41A0-9081-807E524F2629}</x14:id>
        </ext>
      </extLst>
    </cfRule>
  </conditionalFormatting>
  <conditionalFormatting sqref="E3:E14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{F9AC6EA4-F11A-410B-BF13-08A1F866C489}</x14:id>
        </ext>
      </extLst>
    </cfRule>
  </conditionalFormatting>
  <conditionalFormatting sqref="F3:F1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{254C528F-4650-4128-995A-92AB36887386}</x14:id>
        </ext>
      </extLst>
    </cfRule>
  </conditionalFormatting>
  <conditionalFormatting sqref="K3:K14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{3193C712-7801-46CD-BDE4-D31CBFDD2EA4}</x14:id>
        </ext>
      </extLst>
    </cfRule>
  </conditionalFormatting>
  <conditionalFormatting sqref="L3:L1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{FA852EAD-A8AE-4323-9591-B014D140AB4F}</x14:id>
        </ext>
      </extLst>
    </cfRule>
  </conditionalFormatting>
  <conditionalFormatting sqref="M3:M14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{E946D3BC-FEA6-4DDC-8F5C-26D01F869AE8}</x14:id>
        </ext>
      </extLst>
    </cfRule>
  </conditionalFormatting>
  <conditionalFormatting sqref="N3:N1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{E9924ACB-2ABD-49FB-95B7-B11DA1068C04}</x14:id>
        </ext>
      </extLst>
    </cfRule>
  </conditionalFormatting>
  <conditionalFormatting sqref="O3:O14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{FB8CFF9E-366A-4D04-A4AC-D5DAAE3F9413}</x14:id>
        </ext>
      </extLst>
    </cfRule>
  </conditionalFormatting>
  <conditionalFormatting sqref="P3:P14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{40069A79-F9E1-46AD-AD67-E515F6C5A14D}</x14:id>
        </ext>
      </extLst>
    </cfRule>
  </conditionalFormatting>
  <conditionalFormatting sqref="J3:J1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{58275F80-E64A-45B8-8F14-9D8F4B190ACB}</x14:id>
        </ext>
      </extLst>
    </cfRule>
  </conditionalFormatting>
  <conditionalFormatting sqref="Q3:Q14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{DC1A40B1-F267-4047-90E1-208D9BF701DB}</x14:id>
        </ext>
      </extLst>
    </cfRule>
  </conditionalFormatting>
  <conditionalFormatting sqref="R3:R1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{232D7ED5-DCAE-4E45-AF7B-F6EDB855158C}</x14:id>
        </ext>
      </extLst>
    </cfRule>
  </conditionalFormatting>
  <conditionalFormatting sqref="S3:S14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{5CBEC580-45BB-4738-8264-C736004AF07F}</x14:id>
        </ext>
      </extLst>
    </cfRule>
  </conditionalFormatting>
  <conditionalFormatting sqref="T3:T1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{50243BD9-287A-432F-82C6-D62AD7EB7798}</x14:id>
        </ext>
      </extLst>
    </cfRule>
  </conditionalFormatting>
  <conditionalFormatting sqref="P3:P14 J3:J14">
    <cfRule type="expression" dxfId="27" priority="5">
      <formula>$H3</formula>
    </cfRule>
  </conditionalFormatting>
  <conditionalFormatting sqref="Q3:R14 K3:L14">
    <cfRule type="expression" dxfId="26" priority="3">
      <formula>$U3</formula>
    </cfRule>
  </conditionalFormatting>
  <conditionalFormatting sqref="M3:N14 S3:T14">
    <cfRule type="expression" dxfId="25" priority="2">
      <formula>$V3</formula>
    </cfRule>
  </conditionalFormatting>
  <conditionalFormatting sqref="D3:D1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{9A2CC63C-D69B-4B69-9A56-C3FD86C0B1FA}</x14:id>
        </ext>
      </extLst>
    </cfRule>
  </conditionalFormatting>
  <dataValidations count="1">
    <dataValidation allowBlank="1" showInputMessage="1" showErrorMessage="1" sqref="D3:D14" xr:uid="{FAEAEEA1-A643-4C99-8586-AD7827BD9318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CDC594-B4A2-4EA6-A9D4-6DEEE983D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I3:I14</xm:sqref>
        </x14:conditionalFormatting>
        <x14:conditionalFormatting xmlns:xm="http://schemas.microsoft.com/office/excel/2006/main">
          <x14:cfRule type="dataBar" id="{40A5B2D3-590B-4CAD-AD1F-B9302927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E0113134-FBB5-4C1D-B559-8FA62FE43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F3:F14</xm:sqref>
        </x14:conditionalFormatting>
        <x14:conditionalFormatting xmlns:xm="http://schemas.microsoft.com/office/excel/2006/main">
          <x14:cfRule type="dataBar" id="{B79E1E16-117F-4464-A0DE-173E2AF04F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F3:F14</xm:sqref>
        </x14:conditionalFormatting>
        <x14:conditionalFormatting xmlns:xm="http://schemas.microsoft.com/office/excel/2006/main">
          <x14:cfRule type="dataBar" id="{37916E8E-CE16-4B3C-BFD8-5A9B772C2A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G3:G14</xm:sqref>
        </x14:conditionalFormatting>
        <x14:conditionalFormatting xmlns:xm="http://schemas.microsoft.com/office/excel/2006/main">
          <x14:cfRule type="dataBar" id="{499AD802-3788-4E0C-B86F-F8D9E7BCC1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1C96B81A-524F-404C-A73A-EF8F04A256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J3:J14</xm:sqref>
        </x14:conditionalFormatting>
        <x14:conditionalFormatting xmlns:xm="http://schemas.microsoft.com/office/excel/2006/main">
          <x14:cfRule type="dataBar" id="{5C06CEC0-F84A-48B1-8807-4D56D6218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J3:J14</xm:sqref>
        </x14:conditionalFormatting>
        <x14:conditionalFormatting xmlns:xm="http://schemas.microsoft.com/office/excel/2006/main">
          <x14:cfRule type="dataBar" id="{1574560F-EC98-41A0-9081-807E524F26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F9AC6EA4-F11A-410B-BF13-08A1F866C4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254C528F-4650-4128-995A-92AB36887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F3:F14</xm:sqref>
        </x14:conditionalFormatting>
        <x14:conditionalFormatting xmlns:xm="http://schemas.microsoft.com/office/excel/2006/main">
          <x14:cfRule type="dataBar" id="{3193C712-7801-46CD-BDE4-D31CBFDD2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K3:K14</xm:sqref>
        </x14:conditionalFormatting>
        <x14:conditionalFormatting xmlns:xm="http://schemas.microsoft.com/office/excel/2006/main">
          <x14:cfRule type="dataBar" id="{FA852EAD-A8AE-4323-9591-B014D140AB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L3:L14</xm:sqref>
        </x14:conditionalFormatting>
        <x14:conditionalFormatting xmlns:xm="http://schemas.microsoft.com/office/excel/2006/main">
          <x14:cfRule type="dataBar" id="{E946D3BC-FEA6-4DDC-8F5C-26D01F869A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M3:M14</xm:sqref>
        </x14:conditionalFormatting>
        <x14:conditionalFormatting xmlns:xm="http://schemas.microsoft.com/office/excel/2006/main">
          <x14:cfRule type="dataBar" id="{E9924ACB-2ABD-49FB-95B7-B11DA1068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N3:N14</xm:sqref>
        </x14:conditionalFormatting>
        <x14:conditionalFormatting xmlns:xm="http://schemas.microsoft.com/office/excel/2006/main">
          <x14:cfRule type="dataBar" id="{FB8CFF9E-366A-4D04-A4AC-D5DAAE3F94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O3:O14</xm:sqref>
        </x14:conditionalFormatting>
        <x14:conditionalFormatting xmlns:xm="http://schemas.microsoft.com/office/excel/2006/main">
          <x14:cfRule type="dataBar" id="{40069A79-F9E1-46AD-AD67-E515F6C5A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P3:P14</xm:sqref>
        </x14:conditionalFormatting>
        <x14:conditionalFormatting xmlns:xm="http://schemas.microsoft.com/office/excel/2006/main">
          <x14:cfRule type="dataBar" id="{58275F80-E64A-45B8-8F14-9D8F4B190A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J3:J14</xm:sqref>
        </x14:conditionalFormatting>
        <x14:conditionalFormatting xmlns:xm="http://schemas.microsoft.com/office/excel/2006/main">
          <x14:cfRule type="dataBar" id="{DC1A40B1-F267-4047-90E1-208D9BF701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Q3:Q14</xm:sqref>
        </x14:conditionalFormatting>
        <x14:conditionalFormatting xmlns:xm="http://schemas.microsoft.com/office/excel/2006/main">
          <x14:cfRule type="dataBar" id="{232D7ED5-DCAE-4E45-AF7B-F6EDB85515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R3:R14</xm:sqref>
        </x14:conditionalFormatting>
        <x14:conditionalFormatting xmlns:xm="http://schemas.microsoft.com/office/excel/2006/main">
          <x14:cfRule type="dataBar" id="{5CBEC580-45BB-4738-8264-C736004AF0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S3:S14</xm:sqref>
        </x14:conditionalFormatting>
        <x14:conditionalFormatting xmlns:xm="http://schemas.microsoft.com/office/excel/2006/main">
          <x14:cfRule type="dataBar" id="{50243BD9-287A-432F-82C6-D62AD7EB77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T3:T14</xm:sqref>
        </x14:conditionalFormatting>
        <x14:conditionalFormatting xmlns:xm="http://schemas.microsoft.com/office/excel/2006/main">
          <x14:cfRule type="dataBar" id="{9A2CC63C-D69B-4B69-9A56-C3FD86C0B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7FD852-0654-43EE-9280-1F7B528DEC45}">
          <x14:formula1>
            <xm:f>Tools!$A$3:$A$7</xm:f>
          </x14:formula1>
          <xm:sqref>B3:B14</xm:sqref>
        </x14:dataValidation>
        <x14:dataValidation type="list" allowBlank="1" showInputMessage="1" showErrorMessage="1" xr:uid="{FB2D5EA2-A696-4CE1-A0F4-31308B0D773D}">
          <x14:formula1>
            <xm:f>Tools!$D$2:$D$4</xm:f>
          </x14:formula1>
          <xm:sqref>C3:C14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942-BF22-4CAB-AFD8-B383EC3881E5}">
  <dimension ref="A1:N10"/>
  <sheetViews>
    <sheetView topLeftCell="B1" workbookViewId="0">
      <selection activeCell="H2" sqref="H2:H7"/>
    </sheetView>
  </sheetViews>
  <sheetFormatPr defaultColWidth="9.140625" defaultRowHeight="15"/>
  <cols>
    <col min="1" max="1" width="18.140625" bestFit="1" customWidth="1"/>
    <col min="2" max="2" width="18.140625" customWidth="1"/>
    <col min="3" max="3" width="9.140625" bestFit="1" customWidth="1"/>
    <col min="4" max="4" width="18.42578125" bestFit="1" customWidth="1"/>
    <col min="6" max="6" width="11.85546875" bestFit="1" customWidth="1"/>
    <col min="8" max="8" width="14.28515625" bestFit="1" customWidth="1"/>
    <col min="10" max="10" width="14" bestFit="1" customWidth="1"/>
    <col min="12" max="12" width="17.42578125" bestFit="1" customWidth="1"/>
    <col min="14" max="14" width="18.85546875" bestFit="1" customWidth="1"/>
  </cols>
  <sheetData>
    <row r="1" spans="1:14">
      <c r="A1" t="s">
        <v>101</v>
      </c>
      <c r="D1" t="s">
        <v>102</v>
      </c>
      <c r="F1" t="s">
        <v>82</v>
      </c>
      <c r="H1" t="s">
        <v>103</v>
      </c>
      <c r="J1" t="s">
        <v>55</v>
      </c>
      <c r="L1" t="s">
        <v>104</v>
      </c>
      <c r="N1" s="7" t="s">
        <v>105</v>
      </c>
    </row>
    <row r="2" spans="1:14">
      <c r="A2" t="s">
        <v>63</v>
      </c>
      <c r="B2" s="33" t="s">
        <v>106</v>
      </c>
      <c r="D2" t="s">
        <v>19</v>
      </c>
      <c r="F2" t="s">
        <v>56</v>
      </c>
      <c r="H2" s="4" t="s">
        <v>63</v>
      </c>
      <c r="J2" t="s">
        <v>63</v>
      </c>
      <c r="L2" t="s">
        <v>78</v>
      </c>
      <c r="N2" s="8">
        <f>ROUND(AVERAGE(Enemies!D2:D4), 0)</f>
        <v>17</v>
      </c>
    </row>
    <row r="3" spans="1:14">
      <c r="A3" t="s">
        <v>24</v>
      </c>
      <c r="B3" s="33" t="s">
        <v>107</v>
      </c>
      <c r="D3" t="s">
        <v>12</v>
      </c>
      <c r="F3" t="s">
        <v>108</v>
      </c>
      <c r="H3" s="4" t="s">
        <v>43</v>
      </c>
      <c r="J3" t="s">
        <v>64</v>
      </c>
      <c r="L3" t="s">
        <v>79</v>
      </c>
    </row>
    <row r="4" spans="1:14">
      <c r="A4" t="s">
        <v>27</v>
      </c>
      <c r="B4" s="33" t="s">
        <v>109</v>
      </c>
      <c r="D4" t="s">
        <v>110</v>
      </c>
      <c r="F4" t="s">
        <v>111</v>
      </c>
      <c r="H4" s="4" t="s">
        <v>44</v>
      </c>
      <c r="J4" t="s">
        <v>112</v>
      </c>
    </row>
    <row r="5" spans="1:14">
      <c r="A5" t="s">
        <v>30</v>
      </c>
      <c r="B5" s="33" t="s">
        <v>113</v>
      </c>
      <c r="F5" t="s">
        <v>114</v>
      </c>
      <c r="H5" s="4" t="s">
        <v>46</v>
      </c>
      <c r="J5" t="s">
        <v>65</v>
      </c>
    </row>
    <row r="6" spans="1:14">
      <c r="A6" t="s">
        <v>39</v>
      </c>
      <c r="B6" s="33" t="s">
        <v>115</v>
      </c>
      <c r="H6" s="4" t="s">
        <v>47</v>
      </c>
      <c r="J6" t="s">
        <v>66</v>
      </c>
    </row>
    <row r="7" spans="1:14">
      <c r="A7" t="s">
        <v>11</v>
      </c>
      <c r="B7" s="33" t="s">
        <v>116</v>
      </c>
      <c r="H7" s="4" t="s">
        <v>48</v>
      </c>
      <c r="J7" t="s">
        <v>117</v>
      </c>
    </row>
    <row r="8" spans="1:14">
      <c r="J8" t="s">
        <v>118</v>
      </c>
    </row>
    <row r="9" spans="1:14">
      <c r="J9" t="s">
        <v>119</v>
      </c>
    </row>
    <row r="10" spans="1:14">
      <c r="J10" t="s">
        <v>120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2026-09-15T19:36:01Z</dcterms:created>
  <dcterms:modified xsi:type="dcterms:W3CDTF">2026-10-22T22:40:15Z</dcterms:modified>
  <cp:category/>
  <cp:contentStatus/>
</cp:coreProperties>
</file>